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less\sms\transformation_pypsa_smspp\test\configs\data\develop\"/>
    </mc:Choice>
  </mc:AlternateContent>
  <bookViews>
    <workbookView xWindow="480" yWindow="60" windowWidth="18192" windowHeight="8508" activeTab="2"/>
  </bookViews>
  <sheets>
    <sheet name="Carrier" sheetId="1" r:id="rId1"/>
    <sheet name="Bus" sheetId="2" r:id="rId2"/>
    <sheet name="Load" sheetId="3" r:id="rId3"/>
    <sheet name="Line" sheetId="4" r:id="rId4"/>
    <sheet name="Generator" sheetId="5" r:id="rId5"/>
    <sheet name="Link" sheetId="6" r:id="rId6"/>
    <sheet name="StorageUnit" sheetId="7" r:id="rId7"/>
    <sheet name="Store" sheetId="8" r:id="rId8"/>
    <sheet name="generators_t_p_max_pu" sheetId="9" r:id="rId9"/>
    <sheet name="snapshots" sheetId="10" r:id="rId10"/>
  </sheets>
  <calcPr calcId="152511"/>
</workbook>
</file>

<file path=xl/calcChain.xml><?xml version="1.0" encoding="utf-8"?>
<calcChain xmlns="http://schemas.openxmlformats.org/spreadsheetml/2006/main">
  <c r="N3" i="5" l="1"/>
  <c r="N2" i="5" l="1"/>
</calcChain>
</file>

<file path=xl/sharedStrings.xml><?xml version="1.0" encoding="utf-8"?>
<sst xmlns="http://schemas.openxmlformats.org/spreadsheetml/2006/main" count="230" uniqueCount="132">
  <si>
    <t>name</t>
  </si>
  <si>
    <t>bus</t>
  </si>
  <si>
    <t>type</t>
  </si>
  <si>
    <t>carrier</t>
  </si>
  <si>
    <t>e_nom</t>
  </si>
  <si>
    <t>e_nom_mod</t>
  </si>
  <si>
    <t>e_nom_extendable</t>
  </si>
  <si>
    <t>e_nom_min</t>
  </si>
  <si>
    <t>e_nom_max</t>
  </si>
  <si>
    <t>e_min_pu</t>
  </si>
  <si>
    <t>e_max_pu</t>
  </si>
  <si>
    <t>e_initial</t>
  </si>
  <si>
    <t>e_initial_per_period</t>
  </si>
  <si>
    <t>e_cyclic</t>
  </si>
  <si>
    <t>e_cyclic_per_period</t>
  </si>
  <si>
    <t>p_set</t>
  </si>
  <si>
    <t>q_set</t>
  </si>
  <si>
    <t>sign</t>
  </si>
  <si>
    <t>marginal_cost</t>
  </si>
  <si>
    <t>marginal_cost_quadratic</t>
  </si>
  <si>
    <t>marginal_cost_storage</t>
  </si>
  <si>
    <t>capital_cost</t>
  </si>
  <si>
    <t>standing_loss</t>
  </si>
  <si>
    <t>active</t>
  </si>
  <si>
    <t>build_year</t>
  </si>
  <si>
    <t>lifetime</t>
  </si>
  <si>
    <t>e_nom_opt</t>
  </si>
  <si>
    <t>max_hours</t>
  </si>
  <si>
    <t>bus_idx</t>
  </si>
  <si>
    <t>H2</t>
  </si>
  <si>
    <t>True</t>
  </si>
  <si>
    <t>inf</t>
  </si>
  <si>
    <t>False</t>
  </si>
  <si>
    <t>p_nom_extendable</t>
  </si>
  <si>
    <t>cyclic_state_of_charge</t>
  </si>
  <si>
    <t>efficiency_store</t>
  </si>
  <si>
    <t>efficiency_dispatch</t>
  </si>
  <si>
    <t>p_nom</t>
  </si>
  <si>
    <t>p_nom_min</t>
  </si>
  <si>
    <t>state_of_charge_initial</t>
  </si>
  <si>
    <t>bus0</t>
  </si>
  <si>
    <t>bus1</t>
  </si>
  <si>
    <t>efficiency</t>
  </si>
  <si>
    <t>p_nom_mod</t>
  </si>
  <si>
    <t>p_nom_max</t>
  </si>
  <si>
    <t>p_min_pu</t>
  </si>
  <si>
    <t>p_max_pu</t>
  </si>
  <si>
    <t>stand_by_cost</t>
  </si>
  <si>
    <t>length</t>
  </si>
  <si>
    <t>terrain_factor</t>
  </si>
  <si>
    <t>committable</t>
  </si>
  <si>
    <t>start_up_cost</t>
  </si>
  <si>
    <t>shut_down_cost</t>
  </si>
  <si>
    <t>min_up_time</t>
  </si>
  <si>
    <t>min_down_time</t>
  </si>
  <si>
    <t>up_time_before</t>
  </si>
  <si>
    <t>down_time_before</t>
  </si>
  <si>
    <t>ramp_limit_up</t>
  </si>
  <si>
    <t>ramp_limit_down</t>
  </si>
  <si>
    <t>ramp_limit_start_up</t>
  </si>
  <si>
    <t>ramp_limit_shut_down</t>
  </si>
  <si>
    <t>p_nom_opt</t>
  </si>
  <si>
    <t>tags</t>
  </si>
  <si>
    <t>geometry</t>
  </si>
  <si>
    <t>dc</t>
  </si>
  <si>
    <t>project_status</t>
  </si>
  <si>
    <t>under_construction</t>
  </si>
  <si>
    <t>underground</t>
  </si>
  <si>
    <t>voltage</t>
  </si>
  <si>
    <t>underwater_fraction</t>
  </si>
  <si>
    <t>start_line_idx</t>
  </si>
  <si>
    <t>end_line_idx</t>
  </si>
  <si>
    <t>IT0 0</t>
  </si>
  <si>
    <t>H2 electrolysis</t>
  </si>
  <si>
    <t>H2 fuel cell</t>
  </si>
  <si>
    <t>control</t>
  </si>
  <si>
    <t>e_sum_min</t>
  </si>
  <si>
    <t>e_sum_max</t>
  </si>
  <si>
    <t>weight</t>
  </si>
  <si>
    <t>solar</t>
  </si>
  <si>
    <t>s_nom_extendable</t>
  </si>
  <si>
    <t>x</t>
  </si>
  <si>
    <t>r</t>
  </si>
  <si>
    <t>s_nom</t>
  </si>
  <si>
    <t>AC</t>
  </si>
  <si>
    <t>v_nom</t>
  </si>
  <si>
    <t>y</t>
  </si>
  <si>
    <t>unit</t>
  </si>
  <si>
    <t>location</t>
  </si>
  <si>
    <t>v_mag_pu_set</t>
  </si>
  <si>
    <t>v_mag_pu_min</t>
  </si>
  <si>
    <t>v_mag_pu_max</t>
  </si>
  <si>
    <t>generator</t>
  </si>
  <si>
    <t>sub_network</t>
  </si>
  <si>
    <t>substation_off</t>
  </si>
  <si>
    <t>country</t>
  </si>
  <si>
    <t>substation_lv</t>
  </si>
  <si>
    <t>Slack</t>
  </si>
  <si>
    <t>IT</t>
  </si>
  <si>
    <t>color</t>
  </si>
  <si>
    <t>#16ba24</t>
  </si>
  <si>
    <t>#f5b111</t>
  </si>
  <si>
    <t>slack</t>
  </si>
  <si>
    <t>#adab00</t>
  </si>
  <si>
    <t>electrical grid selling</t>
  </si>
  <si>
    <t>#f7f300</t>
  </si>
  <si>
    <t>gas</t>
  </si>
  <si>
    <t>#6b4c04</t>
  </si>
  <si>
    <t>gas CHP</t>
  </si>
  <si>
    <t>#210af5</t>
  </si>
  <si>
    <t>hydro</t>
  </si>
  <si>
    <t>#0cdaf5</t>
  </si>
  <si>
    <t>battery</t>
  </si>
  <si>
    <t>#16942d</t>
  </si>
  <si>
    <t>thermal storage</t>
  </si>
  <si>
    <t>#c904a9</t>
  </si>
  <si>
    <t>resistive heater</t>
  </si>
  <si>
    <t>#66039c</t>
  </si>
  <si>
    <t>wind</t>
  </si>
  <si>
    <t>battery_link</t>
  </si>
  <si>
    <t>diesel</t>
  </si>
  <si>
    <t>IT0 1</t>
  </si>
  <si>
    <t>Line 0-1</t>
  </si>
  <si>
    <t>IT0 0 0 solar</t>
  </si>
  <si>
    <t>p_nom_set</t>
  </si>
  <si>
    <t>snapshot</t>
  </si>
  <si>
    <t>objective</t>
  </si>
  <si>
    <t>stores</t>
  </si>
  <si>
    <t>generators</t>
  </si>
  <si>
    <t>IT0 0 0 onwind</t>
  </si>
  <si>
    <t>PQ</t>
  </si>
  <si>
    <t>onwind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</si>
</sst>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/>
    <xf numFmtId="3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 applyAlignment="1">
      <alignment horizontal="right"/>
    </xf>
    <xf numFmtId="0" fontId="0" fillId="0" borderId="0" xfId="0" applyAlignment="1"/>
    <xf numFmtId="3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4" fontId="0" fillId="0" borderId="0" xfId="0" applyNumberFormat="1" applyAlignment="1">
      <alignment horizontal="right"/>
    </xf>
    <xf numFmtId="0" fontId="1" fillId="0" borderId="1" xfId="0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22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7"/>
  <sheetViews>
    <sheetView workbookViewId="0"/>
  </sheetViews>
  <sheetFormatPr defaultRowHeight="14.4" x14ac:dyDescent="0.3"/>
  <cols>
    <col min="1" max="1" width="21.33203125" style="5" bestFit="1" customWidth="1"/>
    <col min="2" max="2" width="13.5546875" style="5" bestFit="1" customWidth="1"/>
  </cols>
  <sheetData>
    <row r="1" spans="1:2" ht="18.75" customHeight="1" x14ac:dyDescent="0.3">
      <c r="A1" s="1" t="s">
        <v>0</v>
      </c>
      <c r="B1" s="1" t="s">
        <v>99</v>
      </c>
    </row>
    <row r="2" spans="1:2" ht="18.75" customHeight="1" x14ac:dyDescent="0.3">
      <c r="A2" s="1" t="s">
        <v>84</v>
      </c>
      <c r="B2" s="1" t="s">
        <v>100</v>
      </c>
    </row>
    <row r="3" spans="1:2" ht="18.75" customHeight="1" x14ac:dyDescent="0.3">
      <c r="A3" s="1" t="s">
        <v>79</v>
      </c>
      <c r="B3" s="1" t="s">
        <v>101</v>
      </c>
    </row>
    <row r="4" spans="1:2" ht="18.75" customHeight="1" x14ac:dyDescent="0.3">
      <c r="A4" s="1" t="s">
        <v>102</v>
      </c>
      <c r="B4" s="1" t="s">
        <v>103</v>
      </c>
    </row>
    <row r="5" spans="1:2" ht="18.75" customHeight="1" x14ac:dyDescent="0.3">
      <c r="A5" s="1" t="s">
        <v>104</v>
      </c>
      <c r="B5" s="1" t="s">
        <v>105</v>
      </c>
    </row>
    <row r="6" spans="1:2" ht="18.75" customHeight="1" x14ac:dyDescent="0.3">
      <c r="A6" s="1" t="s">
        <v>106</v>
      </c>
      <c r="B6" s="1" t="s">
        <v>107</v>
      </c>
    </row>
    <row r="7" spans="1:2" ht="18.75" customHeight="1" x14ac:dyDescent="0.3">
      <c r="A7" s="1" t="s">
        <v>108</v>
      </c>
      <c r="B7" s="1" t="s">
        <v>109</v>
      </c>
    </row>
    <row r="8" spans="1:2" ht="18.75" customHeight="1" x14ac:dyDescent="0.3">
      <c r="A8" s="1" t="s">
        <v>110</v>
      </c>
      <c r="B8" s="1" t="s">
        <v>111</v>
      </c>
    </row>
    <row r="9" spans="1:2" ht="18.75" customHeight="1" x14ac:dyDescent="0.3">
      <c r="A9" s="1" t="s">
        <v>112</v>
      </c>
      <c r="B9" s="1" t="s">
        <v>113</v>
      </c>
    </row>
    <row r="10" spans="1:2" ht="18.75" customHeight="1" x14ac:dyDescent="0.3">
      <c r="A10" s="1" t="s">
        <v>114</v>
      </c>
      <c r="B10" s="1" t="s">
        <v>115</v>
      </c>
    </row>
    <row r="11" spans="1:2" ht="18.75" customHeight="1" x14ac:dyDescent="0.3">
      <c r="A11" s="1" t="s">
        <v>116</v>
      </c>
      <c r="B11" s="1" t="s">
        <v>117</v>
      </c>
    </row>
    <row r="12" spans="1:2" ht="18.75" customHeight="1" x14ac:dyDescent="0.3">
      <c r="A12" s="1" t="s">
        <v>118</v>
      </c>
      <c r="B12" s="1" t="s">
        <v>117</v>
      </c>
    </row>
    <row r="13" spans="1:2" ht="18.75" customHeight="1" x14ac:dyDescent="0.3">
      <c r="A13" s="1" t="s">
        <v>119</v>
      </c>
      <c r="B13" s="1" t="s">
        <v>117</v>
      </c>
    </row>
    <row r="14" spans="1:2" ht="18.75" customHeight="1" x14ac:dyDescent="0.3">
      <c r="A14" s="1" t="s">
        <v>29</v>
      </c>
      <c r="B14" s="1" t="s">
        <v>113</v>
      </c>
    </row>
    <row r="15" spans="1:2" ht="18.75" customHeight="1" x14ac:dyDescent="0.3">
      <c r="A15" s="1" t="s">
        <v>73</v>
      </c>
      <c r="B15" s="1" t="s">
        <v>113</v>
      </c>
    </row>
    <row r="16" spans="1:2" ht="18.75" customHeight="1" x14ac:dyDescent="0.3">
      <c r="A16" s="1" t="s">
        <v>74</v>
      </c>
      <c r="B16" s="1" t="s">
        <v>113</v>
      </c>
    </row>
    <row r="17" spans="1:2" ht="18.75" customHeight="1" x14ac:dyDescent="0.3">
      <c r="A17" s="1" t="s">
        <v>120</v>
      </c>
      <c r="B17" s="1" t="s">
        <v>107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3"/>
  <sheetViews>
    <sheetView workbookViewId="0">
      <selection activeCell="E4" sqref="E4"/>
    </sheetView>
  </sheetViews>
  <sheetFormatPr defaultRowHeight="14.4" x14ac:dyDescent="0.3"/>
  <cols>
    <col min="1" max="1" width="8.88671875" style="15" bestFit="1" customWidth="1"/>
    <col min="2" max="2" width="8.88671875" style="16" bestFit="1" customWidth="1"/>
    <col min="3" max="3" width="8.88671875" style="5" bestFit="1" customWidth="1"/>
    <col min="4" max="5" width="8.88671875" style="17" bestFit="1" customWidth="1"/>
    <col min="6" max="6" width="8.88671875" style="15" bestFit="1" customWidth="1"/>
    <col min="7" max="7" width="8.88671875" style="5" bestFit="1" customWidth="1"/>
    <col min="8" max="8" width="13.5546875" style="15" bestFit="1" customWidth="1"/>
    <col min="9" max="10" width="13.5546875" style="16" bestFit="1" customWidth="1"/>
    <col min="11" max="12" width="13.5546875" style="15" bestFit="1" customWidth="1"/>
    <col min="13" max="14" width="13.5546875" style="5" bestFit="1" customWidth="1"/>
    <col min="15" max="15" width="13.5546875" style="6" bestFit="1" customWidth="1"/>
    <col min="16" max="16" width="13.5546875" style="15" bestFit="1" customWidth="1"/>
    <col min="17" max="17" width="13.5546875" style="6" bestFit="1" customWidth="1"/>
  </cols>
  <sheetData>
    <row r="1" spans="1:17" ht="18.75" customHeight="1" x14ac:dyDescent="0.3">
      <c r="A1" s="9" t="s">
        <v>0</v>
      </c>
      <c r="B1" s="11" t="s">
        <v>85</v>
      </c>
      <c r="C1" s="9" t="s">
        <v>2</v>
      </c>
      <c r="D1" s="10" t="s">
        <v>81</v>
      </c>
      <c r="E1" s="10" t="s">
        <v>86</v>
      </c>
      <c r="F1" s="9" t="s">
        <v>3</v>
      </c>
      <c r="G1" s="9" t="s">
        <v>87</v>
      </c>
      <c r="H1" s="9" t="s">
        <v>88</v>
      </c>
      <c r="I1" s="11" t="s">
        <v>89</v>
      </c>
      <c r="J1" s="11" t="s">
        <v>90</v>
      </c>
      <c r="K1" s="9" t="s">
        <v>91</v>
      </c>
      <c r="L1" s="9" t="s">
        <v>75</v>
      </c>
      <c r="M1" s="9" t="s">
        <v>92</v>
      </c>
      <c r="N1" s="9" t="s">
        <v>93</v>
      </c>
      <c r="O1" s="11" t="s">
        <v>94</v>
      </c>
      <c r="P1" s="9" t="s">
        <v>95</v>
      </c>
      <c r="Q1" s="11" t="s">
        <v>96</v>
      </c>
    </row>
    <row r="2" spans="1:17" ht="18.75" customHeight="1" x14ac:dyDescent="0.3">
      <c r="A2" s="9" t="s">
        <v>72</v>
      </c>
      <c r="B2" s="11">
        <v>380</v>
      </c>
      <c r="C2" s="1"/>
      <c r="D2" s="10">
        <v>11.861807419676801</v>
      </c>
      <c r="E2" s="10">
        <v>43.502700216278299</v>
      </c>
      <c r="F2" s="9" t="s">
        <v>84</v>
      </c>
      <c r="G2" s="1"/>
      <c r="H2" s="9"/>
      <c r="I2" s="11">
        <v>1</v>
      </c>
      <c r="J2" s="11">
        <v>0</v>
      </c>
      <c r="K2" s="9" t="s">
        <v>31</v>
      </c>
      <c r="L2" s="9" t="s">
        <v>97</v>
      </c>
      <c r="M2" s="9"/>
      <c r="N2" s="9"/>
      <c r="O2" s="11">
        <v>1</v>
      </c>
      <c r="P2" s="9" t="s">
        <v>98</v>
      </c>
      <c r="Q2" s="11">
        <v>1</v>
      </c>
    </row>
    <row r="3" spans="1:17" ht="18.75" customHeight="1" x14ac:dyDescent="0.3">
      <c r="A3" s="9" t="s">
        <v>121</v>
      </c>
      <c r="B3" s="11">
        <v>380</v>
      </c>
      <c r="C3" s="14"/>
      <c r="D3" s="10">
        <v>15</v>
      </c>
      <c r="E3" s="10">
        <v>50</v>
      </c>
      <c r="F3" s="9" t="s">
        <v>84</v>
      </c>
      <c r="G3" s="14"/>
      <c r="H3" s="9"/>
      <c r="I3" s="11">
        <v>1</v>
      </c>
      <c r="J3" s="11">
        <v>0</v>
      </c>
      <c r="K3" s="9" t="s">
        <v>31</v>
      </c>
      <c r="L3" s="9" t="s">
        <v>97</v>
      </c>
      <c r="M3" s="9"/>
      <c r="N3" s="9"/>
      <c r="O3" s="11">
        <v>1</v>
      </c>
      <c r="P3" s="9" t="s">
        <v>98</v>
      </c>
      <c r="Q3" s="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"/>
  <sheetViews>
    <sheetView tabSelected="1" workbookViewId="0">
      <selection activeCell="D25" sqref="D25"/>
    </sheetView>
  </sheetViews>
  <sheetFormatPr defaultRowHeight="14.4" x14ac:dyDescent="0.3"/>
  <cols>
    <col min="1" max="3" width="8.88671875" style="15" bestFit="1" customWidth="1"/>
  </cols>
  <sheetData>
    <row r="1" spans="1:3" ht="19.5" customHeight="1" x14ac:dyDescent="0.3">
      <c r="A1" s="9" t="s">
        <v>0</v>
      </c>
      <c r="B1" s="9" t="s">
        <v>3</v>
      </c>
      <c r="C1" s="9" t="s">
        <v>1</v>
      </c>
    </row>
    <row r="2" spans="1:3" ht="19.5" customHeight="1" x14ac:dyDescent="0.3">
      <c r="A2" s="9" t="s">
        <v>72</v>
      </c>
      <c r="B2" s="9" t="s">
        <v>84</v>
      </c>
      <c r="C2" s="9" t="s">
        <v>72</v>
      </c>
    </row>
    <row r="3" spans="1:3" x14ac:dyDescent="0.3">
      <c r="A3" s="15" t="s">
        <v>121</v>
      </c>
      <c r="B3" s="15" t="s">
        <v>84</v>
      </c>
      <c r="C3" s="15" t="s">
        <v>121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"/>
  <sheetViews>
    <sheetView workbookViewId="0">
      <selection activeCell="H3" sqref="H3"/>
    </sheetView>
  </sheetViews>
  <sheetFormatPr defaultRowHeight="14.4" x14ac:dyDescent="0.3"/>
  <cols>
    <col min="1" max="4" width="8.88671875" style="5" bestFit="1" customWidth="1"/>
    <col min="5" max="5" width="16.5546875" style="5" bestFit="1" customWidth="1"/>
    <col min="6" max="8" width="8.88671875" style="5" bestFit="1" customWidth="1"/>
  </cols>
  <sheetData>
    <row r="1" spans="1:8" ht="18.75" customHeight="1" x14ac:dyDescent="0.3">
      <c r="A1" s="9" t="s">
        <v>0</v>
      </c>
      <c r="B1" s="9" t="s">
        <v>3</v>
      </c>
      <c r="C1" s="9" t="s">
        <v>40</v>
      </c>
      <c r="D1" s="9" t="s">
        <v>41</v>
      </c>
      <c r="E1" s="9" t="s">
        <v>80</v>
      </c>
      <c r="F1" s="9" t="s">
        <v>81</v>
      </c>
      <c r="G1" s="9" t="s">
        <v>82</v>
      </c>
      <c r="H1" s="9" t="s">
        <v>83</v>
      </c>
    </row>
    <row r="2" spans="1:8" x14ac:dyDescent="0.3">
      <c r="A2" s="5" t="s">
        <v>122</v>
      </c>
      <c r="B2" s="5" t="s">
        <v>84</v>
      </c>
      <c r="C2" s="5" t="s">
        <v>72</v>
      </c>
      <c r="D2" s="14" t="s">
        <v>121</v>
      </c>
      <c r="E2" s="14" t="s">
        <v>30</v>
      </c>
      <c r="F2" s="5">
        <v>5</v>
      </c>
      <c r="G2" s="5">
        <v>0.01</v>
      </c>
      <c r="H2" s="5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L3"/>
  <sheetViews>
    <sheetView workbookViewId="0">
      <selection activeCell="G8" sqref="G8"/>
    </sheetView>
  </sheetViews>
  <sheetFormatPr defaultRowHeight="14.4" x14ac:dyDescent="0.3"/>
  <cols>
    <col min="1" max="1" width="8.109375" style="5" bestFit="1" customWidth="1"/>
    <col min="2" max="2" width="7.44140625" style="5" bestFit="1" customWidth="1"/>
    <col min="3" max="3" width="9" style="5" bestFit="1" customWidth="1"/>
    <col min="4" max="4" width="8.88671875" style="5" bestFit="1" customWidth="1"/>
    <col min="5" max="5" width="8.88671875" style="8" bestFit="1" customWidth="1"/>
    <col min="6" max="6" width="13.5546875" style="6" bestFit="1" customWidth="1"/>
    <col min="7" max="7" width="13.5546875" style="5" bestFit="1" customWidth="1"/>
    <col min="8" max="9" width="13.5546875" style="8" bestFit="1" customWidth="1"/>
    <col min="10" max="12" width="13.5546875" style="6" bestFit="1" customWidth="1"/>
    <col min="13" max="14" width="13.5546875" style="5" bestFit="1" customWidth="1"/>
    <col min="15" max="16" width="13.5546875" style="6" bestFit="1" customWidth="1"/>
    <col min="17" max="17" width="13.5546875" style="5" bestFit="1" customWidth="1"/>
    <col min="18" max="18" width="13.5546875" style="8" bestFit="1" customWidth="1"/>
    <col min="19" max="19" width="13.5546875" style="6" bestFit="1" customWidth="1"/>
    <col min="20" max="20" width="13.5546875" style="5" bestFit="1" customWidth="1"/>
    <col min="21" max="22" width="13.5546875" style="6" bestFit="1" customWidth="1"/>
    <col min="23" max="23" width="13.5546875" style="8" bestFit="1" customWidth="1"/>
    <col min="24" max="24" width="13.5546875" style="6" bestFit="1" customWidth="1"/>
    <col min="25" max="25" width="13.5546875" style="5" bestFit="1" customWidth="1"/>
    <col min="26" max="32" width="13.5546875" style="6" bestFit="1" customWidth="1"/>
    <col min="33" max="34" width="13.5546875" style="5" bestFit="1" customWidth="1"/>
    <col min="35" max="38" width="13.5546875" style="6" bestFit="1" customWidth="1"/>
  </cols>
  <sheetData>
    <row r="1" spans="1:38" x14ac:dyDescent="0.3">
      <c r="A1" t="s">
        <v>0</v>
      </c>
      <c r="B1" t="s">
        <v>1</v>
      </c>
      <c r="C1" t="s">
        <v>75</v>
      </c>
      <c r="D1" t="s">
        <v>2</v>
      </c>
      <c r="E1" t="s">
        <v>37</v>
      </c>
      <c r="F1" t="s">
        <v>43</v>
      </c>
      <c r="G1" t="s">
        <v>33</v>
      </c>
      <c r="H1" t="s">
        <v>38</v>
      </c>
      <c r="I1" t="s">
        <v>44</v>
      </c>
      <c r="J1" t="s">
        <v>124</v>
      </c>
      <c r="K1" t="s">
        <v>45</v>
      </c>
      <c r="L1" t="s">
        <v>46</v>
      </c>
      <c r="M1" t="s">
        <v>15</v>
      </c>
      <c r="N1" t="s">
        <v>76</v>
      </c>
      <c r="O1" t="s">
        <v>77</v>
      </c>
      <c r="P1" t="s">
        <v>16</v>
      </c>
      <c r="Q1" t="s">
        <v>17</v>
      </c>
      <c r="R1" t="s">
        <v>3</v>
      </c>
      <c r="S1" t="s">
        <v>18</v>
      </c>
      <c r="T1" t="s">
        <v>19</v>
      </c>
      <c r="U1" t="s">
        <v>23</v>
      </c>
      <c r="V1" t="s">
        <v>24</v>
      </c>
      <c r="W1" t="s">
        <v>25</v>
      </c>
      <c r="X1" t="s">
        <v>21</v>
      </c>
      <c r="Y1" t="s">
        <v>42</v>
      </c>
      <c r="Z1" t="s">
        <v>50</v>
      </c>
      <c r="AA1" t="s">
        <v>51</v>
      </c>
      <c r="AB1" t="s">
        <v>52</v>
      </c>
      <c r="AC1" t="s">
        <v>47</v>
      </c>
      <c r="AD1" t="s">
        <v>53</v>
      </c>
      <c r="AE1" t="s">
        <v>54</v>
      </c>
      <c r="AF1" t="s">
        <v>55</v>
      </c>
      <c r="AG1" t="s">
        <v>56</v>
      </c>
      <c r="AH1" t="s">
        <v>57</v>
      </c>
      <c r="AI1" t="s">
        <v>58</v>
      </c>
      <c r="AJ1" t="s">
        <v>59</v>
      </c>
      <c r="AK1" t="s">
        <v>60</v>
      </c>
      <c r="AL1" t="s">
        <v>78</v>
      </c>
    </row>
    <row r="2" spans="1:38" x14ac:dyDescent="0.3">
      <c r="A2" t="s">
        <v>123</v>
      </c>
      <c r="B2" t="s">
        <v>72</v>
      </c>
      <c r="C2" t="s">
        <v>97</v>
      </c>
      <c r="D2"/>
      <c r="E2">
        <v>20326.975357459101</v>
      </c>
      <c r="F2">
        <v>0</v>
      </c>
      <c r="G2" t="s">
        <v>30</v>
      </c>
      <c r="H2">
        <v>20326.975357459101</v>
      </c>
      <c r="I2">
        <v>725545.55299178895</v>
      </c>
      <c r="J2"/>
      <c r="K2">
        <v>0</v>
      </c>
      <c r="L2">
        <v>1</v>
      </c>
      <c r="M2"/>
      <c r="N2" t="e">
        <f>-inf</f>
        <v>#NAME?</v>
      </c>
      <c r="O2" t="s">
        <v>31</v>
      </c>
      <c r="P2">
        <v>0</v>
      </c>
      <c r="Q2">
        <v>1</v>
      </c>
      <c r="R2" t="s">
        <v>79</v>
      </c>
      <c r="S2">
        <v>0.01</v>
      </c>
      <c r="T2">
        <v>0</v>
      </c>
      <c r="U2" t="s">
        <v>30</v>
      </c>
      <c r="V2">
        <v>0</v>
      </c>
      <c r="W2">
        <v>40</v>
      </c>
      <c r="X2">
        <v>1189.6300057910801</v>
      </c>
      <c r="Y2">
        <v>1</v>
      </c>
      <c r="Z2" t="s">
        <v>32</v>
      </c>
      <c r="AA2">
        <v>0</v>
      </c>
      <c r="AB2">
        <v>0</v>
      </c>
      <c r="AC2">
        <v>0</v>
      </c>
      <c r="AD2">
        <v>0</v>
      </c>
      <c r="AE2">
        <v>0</v>
      </c>
      <c r="AF2">
        <v>1</v>
      </c>
      <c r="AG2">
        <v>0</v>
      </c>
      <c r="AH2"/>
      <c r="AI2"/>
      <c r="AJ2">
        <v>1</v>
      </c>
      <c r="AK2">
        <v>1</v>
      </c>
      <c r="AL2">
        <v>1</v>
      </c>
    </row>
    <row r="3" spans="1:38" x14ac:dyDescent="0.3">
      <c r="A3" t="s">
        <v>129</v>
      </c>
      <c r="B3" t="s">
        <v>72</v>
      </c>
      <c r="C3" t="s">
        <v>130</v>
      </c>
      <c r="D3"/>
      <c r="E3">
        <v>9582.6490542581105</v>
      </c>
      <c r="F3">
        <v>0</v>
      </c>
      <c r="G3" t="s">
        <v>30</v>
      </c>
      <c r="H3">
        <v>9582.6490542581105</v>
      </c>
      <c r="I3">
        <v>455771.75449044502</v>
      </c>
      <c r="J3"/>
      <c r="K3">
        <v>0</v>
      </c>
      <c r="L3">
        <v>1</v>
      </c>
      <c r="M3"/>
      <c r="N3" t="e">
        <f t="shared" ref="N3" si="0">-inf</f>
        <v>#NAME?</v>
      </c>
      <c r="O3" t="s">
        <v>31</v>
      </c>
      <c r="P3">
        <v>0</v>
      </c>
      <c r="Q3">
        <v>1</v>
      </c>
      <c r="R3" t="s">
        <v>131</v>
      </c>
      <c r="S3">
        <v>1.4999999999999999E-2</v>
      </c>
      <c r="T3">
        <v>0</v>
      </c>
      <c r="U3" t="s">
        <v>30</v>
      </c>
      <c r="V3">
        <v>0</v>
      </c>
      <c r="W3">
        <v>30</v>
      </c>
      <c r="X3">
        <v>108204.66880406901</v>
      </c>
      <c r="Y3">
        <v>1</v>
      </c>
      <c r="Z3" t="s">
        <v>32</v>
      </c>
      <c r="AA3">
        <v>0</v>
      </c>
      <c r="AB3">
        <v>0</v>
      </c>
      <c r="AC3">
        <v>0</v>
      </c>
      <c r="AD3">
        <v>0</v>
      </c>
      <c r="AE3">
        <v>0</v>
      </c>
      <c r="AF3">
        <v>1</v>
      </c>
      <c r="AG3">
        <v>0</v>
      </c>
      <c r="AH3"/>
      <c r="AI3"/>
      <c r="AJ3">
        <v>1</v>
      </c>
      <c r="AK3">
        <v>1</v>
      </c>
      <c r="AL3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S3"/>
  <sheetViews>
    <sheetView workbookViewId="0">
      <selection activeCell="D24" sqref="D24"/>
    </sheetView>
  </sheetViews>
  <sheetFormatPr defaultRowHeight="14.4" x14ac:dyDescent="0.3"/>
  <cols>
    <col min="1" max="1" width="19.5546875" style="5" bestFit="1" customWidth="1"/>
    <col min="2" max="4" width="8.88671875" style="5" bestFit="1" customWidth="1"/>
    <col min="5" max="5" width="16.6640625" style="5" bestFit="1" customWidth="1"/>
    <col min="6" max="6" width="9" style="8" bestFit="1" customWidth="1"/>
    <col min="7" max="7" width="9.44140625" style="5" bestFit="1" customWidth="1"/>
    <col min="8" max="8" width="8.88671875" style="6" bestFit="1" customWidth="1"/>
    <col min="9" max="9" width="8.88671875" style="5" bestFit="1" customWidth="1"/>
    <col min="10" max="11" width="8.88671875" style="6" bestFit="1" customWidth="1"/>
    <col min="12" max="12" width="8.88671875" style="5" bestFit="1" customWidth="1"/>
    <col min="13" max="13" width="8.88671875" style="6" bestFit="1" customWidth="1"/>
    <col min="14" max="14" width="8.88671875" style="13" bestFit="1" customWidth="1"/>
    <col min="15" max="17" width="8.88671875" style="6" bestFit="1" customWidth="1"/>
    <col min="18" max="18" width="8.88671875" style="8" bestFit="1" customWidth="1"/>
    <col min="19" max="23" width="8.88671875" style="6" bestFit="1" customWidth="1"/>
    <col min="24" max="24" width="8.88671875" style="5" bestFit="1" customWidth="1"/>
    <col min="25" max="30" width="8.88671875" style="6" bestFit="1" customWidth="1"/>
    <col min="31" max="31" width="8.88671875" style="5" bestFit="1" customWidth="1"/>
    <col min="32" max="32" width="13.5546875" style="5" bestFit="1" customWidth="1"/>
    <col min="33" max="35" width="13.5546875" style="6" bestFit="1" customWidth="1"/>
    <col min="36" max="37" width="13.5546875" style="5" bestFit="1" customWidth="1"/>
    <col min="38" max="38" width="13.5546875" style="7" bestFit="1" customWidth="1"/>
    <col min="39" max="39" width="13.5546875" style="5" bestFit="1" customWidth="1"/>
    <col min="40" max="43" width="13.5546875" style="7" bestFit="1" customWidth="1"/>
    <col min="44" max="45" width="13.5546875" style="6" bestFit="1" customWidth="1"/>
  </cols>
  <sheetData>
    <row r="1" spans="1:45" ht="18.75" customHeight="1" x14ac:dyDescent="0.3">
      <c r="A1" s="9" t="s">
        <v>0</v>
      </c>
      <c r="B1" s="9" t="s">
        <v>40</v>
      </c>
      <c r="C1" s="9" t="s">
        <v>41</v>
      </c>
      <c r="D1" s="9" t="s">
        <v>2</v>
      </c>
      <c r="E1" s="9" t="s">
        <v>3</v>
      </c>
      <c r="F1" s="10" t="s">
        <v>42</v>
      </c>
      <c r="G1" s="9" t="s">
        <v>23</v>
      </c>
      <c r="H1" s="11" t="s">
        <v>24</v>
      </c>
      <c r="I1" s="9" t="s">
        <v>25</v>
      </c>
      <c r="J1" s="11" t="s">
        <v>37</v>
      </c>
      <c r="K1" s="11" t="s">
        <v>43</v>
      </c>
      <c r="L1" s="9" t="s">
        <v>33</v>
      </c>
      <c r="M1" s="11" t="s">
        <v>38</v>
      </c>
      <c r="N1" s="9" t="s">
        <v>44</v>
      </c>
      <c r="O1" s="11" t="s">
        <v>15</v>
      </c>
      <c r="P1" s="11" t="s">
        <v>45</v>
      </c>
      <c r="Q1" s="11" t="s">
        <v>46</v>
      </c>
      <c r="R1" s="10" t="s">
        <v>21</v>
      </c>
      <c r="S1" s="11" t="s">
        <v>18</v>
      </c>
      <c r="T1" s="11" t="s">
        <v>19</v>
      </c>
      <c r="U1" s="11" t="s">
        <v>47</v>
      </c>
      <c r="V1" s="11" t="s">
        <v>48</v>
      </c>
      <c r="W1" s="11" t="s">
        <v>49</v>
      </c>
      <c r="X1" s="9" t="s">
        <v>50</v>
      </c>
      <c r="Y1" s="11" t="s">
        <v>51</v>
      </c>
      <c r="Z1" s="11" t="s">
        <v>52</v>
      </c>
      <c r="AA1" s="11" t="s">
        <v>53</v>
      </c>
      <c r="AB1" s="11" t="s">
        <v>54</v>
      </c>
      <c r="AC1" s="11" t="s">
        <v>55</v>
      </c>
      <c r="AD1" s="11" t="s">
        <v>56</v>
      </c>
      <c r="AE1" s="9" t="s">
        <v>57</v>
      </c>
      <c r="AF1" s="9" t="s">
        <v>58</v>
      </c>
      <c r="AG1" s="11" t="s">
        <v>59</v>
      </c>
      <c r="AH1" s="11" t="s">
        <v>60</v>
      </c>
      <c r="AI1" s="11" t="s">
        <v>61</v>
      </c>
      <c r="AJ1" s="9" t="s">
        <v>62</v>
      </c>
      <c r="AK1" s="9" t="s">
        <v>63</v>
      </c>
      <c r="AL1" s="9" t="s">
        <v>64</v>
      </c>
      <c r="AM1" s="9" t="s">
        <v>65</v>
      </c>
      <c r="AN1" s="9" t="s">
        <v>66</v>
      </c>
      <c r="AO1" s="9" t="s">
        <v>67</v>
      </c>
      <c r="AP1" s="9" t="s">
        <v>68</v>
      </c>
      <c r="AQ1" s="9" t="s">
        <v>69</v>
      </c>
      <c r="AR1" s="11" t="s">
        <v>70</v>
      </c>
      <c r="AS1" s="11" t="s">
        <v>71</v>
      </c>
    </row>
    <row r="2" spans="1:45" ht="18.75" customHeight="1" x14ac:dyDescent="0.3">
      <c r="A2" s="1"/>
      <c r="B2" s="1"/>
      <c r="C2" s="1"/>
      <c r="D2" s="1"/>
      <c r="E2" s="1"/>
      <c r="F2" s="4"/>
      <c r="G2" s="1"/>
      <c r="H2" s="2"/>
      <c r="I2" s="1"/>
      <c r="J2" s="2"/>
      <c r="K2" s="2"/>
      <c r="L2" s="1"/>
      <c r="M2" s="2"/>
      <c r="N2" s="12"/>
      <c r="O2" s="2"/>
      <c r="P2" s="2"/>
      <c r="Q2" s="2"/>
      <c r="R2" s="4"/>
      <c r="S2" s="2"/>
      <c r="T2" s="2"/>
      <c r="U2" s="2"/>
      <c r="V2" s="2"/>
      <c r="W2" s="2"/>
      <c r="X2" s="1"/>
      <c r="Y2" s="2"/>
      <c r="Z2" s="2"/>
      <c r="AA2" s="2"/>
      <c r="AB2" s="2"/>
      <c r="AC2" s="2"/>
      <c r="AD2" s="2"/>
      <c r="AE2" s="1"/>
      <c r="AF2" s="1"/>
      <c r="AG2" s="2"/>
      <c r="AH2" s="2"/>
      <c r="AI2" s="2"/>
      <c r="AJ2" s="1"/>
      <c r="AK2" s="1"/>
      <c r="AL2" s="2"/>
      <c r="AM2" s="1"/>
      <c r="AN2" s="2"/>
      <c r="AO2" s="2"/>
      <c r="AP2" s="2"/>
      <c r="AQ2" s="4"/>
      <c r="AR2" s="2"/>
      <c r="AS2" s="2"/>
    </row>
    <row r="3" spans="1:45" ht="18.75" customHeight="1" x14ac:dyDescent="0.3">
      <c r="A3" s="1"/>
      <c r="B3" s="1"/>
      <c r="C3" s="1"/>
      <c r="D3" s="1"/>
      <c r="E3" s="1"/>
      <c r="F3" s="4"/>
      <c r="G3" s="1"/>
      <c r="H3" s="2"/>
      <c r="I3" s="1"/>
      <c r="J3" s="2"/>
      <c r="K3" s="2"/>
      <c r="L3" s="1"/>
      <c r="M3" s="2"/>
      <c r="N3" s="12"/>
      <c r="O3" s="2"/>
      <c r="P3" s="2"/>
      <c r="Q3" s="2"/>
      <c r="R3" s="4"/>
      <c r="S3" s="2"/>
      <c r="T3" s="2"/>
      <c r="U3" s="2"/>
      <c r="V3" s="2"/>
      <c r="W3" s="2"/>
      <c r="X3" s="1"/>
      <c r="Y3" s="2"/>
      <c r="Z3" s="2"/>
      <c r="AA3" s="2"/>
      <c r="AB3" s="2"/>
      <c r="AC3" s="2"/>
      <c r="AD3" s="2"/>
      <c r="AE3" s="1"/>
      <c r="AF3" s="1"/>
      <c r="AG3" s="2"/>
      <c r="AH3" s="2"/>
      <c r="AI3" s="2"/>
      <c r="AJ3" s="1"/>
      <c r="AK3" s="1"/>
      <c r="AL3" s="2"/>
      <c r="AM3" s="1"/>
      <c r="AN3" s="2"/>
      <c r="AO3" s="2"/>
      <c r="AP3" s="2"/>
      <c r="AQ3" s="4"/>
      <c r="AR3" s="2"/>
      <c r="AS3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"/>
  <sheetViews>
    <sheetView workbookViewId="0"/>
  </sheetViews>
  <sheetFormatPr defaultRowHeight="14.4" x14ac:dyDescent="0.3"/>
  <cols>
    <col min="1" max="1" width="18.6640625" style="5" bestFit="1" customWidth="1"/>
    <col min="2" max="2" width="9" style="5" bestFit="1" customWidth="1"/>
    <col min="3" max="3" width="13.5546875" style="5" bestFit="1" customWidth="1"/>
    <col min="4" max="4" width="16.6640625" style="5" bestFit="1" customWidth="1"/>
    <col min="5" max="5" width="30.33203125" style="5" bestFit="1" customWidth="1"/>
    <col min="6" max="6" width="14.33203125" style="5" bestFit="1" customWidth="1"/>
    <col min="7" max="7" width="16.6640625" style="5" bestFit="1" customWidth="1"/>
    <col min="8" max="8" width="11.88671875" style="5" bestFit="1" customWidth="1"/>
    <col min="9" max="9" width="10" style="5" bestFit="1" customWidth="1"/>
    <col min="10" max="12" width="13.5546875" style="5" bestFit="1" customWidth="1"/>
  </cols>
  <sheetData>
    <row r="1" spans="1:12" ht="18.75" customHeight="1" x14ac:dyDescent="0.3">
      <c r="A1" s="1" t="s">
        <v>0</v>
      </c>
      <c r="B1" s="1" t="s">
        <v>1</v>
      </c>
      <c r="C1" s="1" t="s">
        <v>3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22</v>
      </c>
      <c r="I1" s="1" t="s">
        <v>27</v>
      </c>
      <c r="J1" s="1" t="s">
        <v>37</v>
      </c>
      <c r="K1" s="1" t="s">
        <v>38</v>
      </c>
      <c r="L1" s="1" t="s">
        <v>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"/>
  <sheetViews>
    <sheetView workbookViewId="0">
      <selection activeCell="A2" sqref="A2:XFD2"/>
    </sheetView>
  </sheetViews>
  <sheetFormatPr defaultRowHeight="14.4" x14ac:dyDescent="0.3"/>
  <cols>
    <col min="1" max="3" width="8.88671875" style="5" bestFit="1" customWidth="1"/>
    <col min="4" max="4" width="16.6640625" style="5" bestFit="1" customWidth="1"/>
    <col min="5" max="5" width="13.5546875" style="6" bestFit="1" customWidth="1"/>
    <col min="6" max="6" width="13.5546875" style="7" bestFit="1" customWidth="1"/>
    <col min="7" max="7" width="13.5546875" style="5" bestFit="1" customWidth="1"/>
    <col min="8" max="8" width="13.5546875" style="6" bestFit="1" customWidth="1"/>
    <col min="9" max="9" width="13.5546875" style="5" bestFit="1" customWidth="1"/>
    <col min="10" max="12" width="13.5546875" style="6" bestFit="1" customWidth="1"/>
    <col min="13" max="15" width="13.5546875" style="5" bestFit="1" customWidth="1"/>
    <col min="16" max="21" width="13.5546875" style="6" bestFit="1" customWidth="1"/>
    <col min="22" max="22" width="13.5546875" style="8" bestFit="1" customWidth="1"/>
    <col min="23" max="23" width="13.5546875" style="6" bestFit="1" customWidth="1"/>
    <col min="24" max="24" width="13.5546875" style="5" bestFit="1" customWidth="1"/>
    <col min="25" max="25" width="13.5546875" style="6" bestFit="1" customWidth="1"/>
    <col min="26" max="26" width="13.5546875" style="5" bestFit="1" customWidth="1"/>
    <col min="27" max="29" width="13.5546875" style="6" bestFit="1" customWidth="1"/>
  </cols>
  <sheetData>
    <row r="1" spans="1:29" ht="19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4" t="s">
        <v>21</v>
      </c>
      <c r="W1" s="2" t="s">
        <v>22</v>
      </c>
      <c r="X1" s="1" t="s">
        <v>23</v>
      </c>
      <c r="Y1" s="2" t="s">
        <v>24</v>
      </c>
      <c r="Z1" s="1" t="s">
        <v>25</v>
      </c>
      <c r="AA1" s="2" t="s">
        <v>26</v>
      </c>
      <c r="AB1" s="2" t="s">
        <v>27</v>
      </c>
      <c r="AC1" s="2" t="s">
        <v>28</v>
      </c>
    </row>
    <row r="2" spans="1:29" ht="19.5" customHeight="1" x14ac:dyDescent="0.3">
      <c r="A2" s="1"/>
      <c r="B2" s="1"/>
      <c r="C2" s="1"/>
      <c r="D2" s="1"/>
      <c r="E2" s="2"/>
      <c r="F2" s="2"/>
      <c r="G2" s="1"/>
      <c r="H2" s="2"/>
      <c r="I2" s="1"/>
      <c r="J2" s="2"/>
      <c r="K2" s="2"/>
      <c r="L2" s="2"/>
      <c r="M2" s="1"/>
      <c r="N2" s="1"/>
      <c r="O2" s="1"/>
      <c r="P2" s="2"/>
      <c r="Q2" s="2"/>
      <c r="R2" s="2"/>
      <c r="S2" s="2"/>
      <c r="T2" s="2"/>
      <c r="U2" s="2"/>
      <c r="V2" s="4"/>
      <c r="W2" s="2"/>
      <c r="X2" s="1"/>
      <c r="Y2" s="2"/>
      <c r="Z2" s="1"/>
      <c r="AA2" s="2"/>
      <c r="AB2" s="2"/>
      <c r="AC2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workbookViewId="0">
      <selection activeCell="C26" sqref="C26"/>
    </sheetView>
  </sheetViews>
  <sheetFormatPr defaultRowHeight="14.4" x14ac:dyDescent="0.3"/>
  <sheetData>
    <row r="1" spans="1:3" x14ac:dyDescent="0.3">
      <c r="A1" t="s">
        <v>125</v>
      </c>
      <c r="B1" t="s">
        <v>123</v>
      </c>
      <c r="C1" t="s">
        <v>129</v>
      </c>
    </row>
    <row r="2" spans="1:3" x14ac:dyDescent="0.3">
      <c r="A2" s="18">
        <v>43466</v>
      </c>
      <c r="B2">
        <v>0</v>
      </c>
      <c r="C2">
        <v>0.3</v>
      </c>
    </row>
    <row r="3" spans="1:3" x14ac:dyDescent="0.3">
      <c r="A3" s="18">
        <v>43466.041666666664</v>
      </c>
      <c r="B3">
        <v>0</v>
      </c>
      <c r="C3">
        <v>0.3</v>
      </c>
    </row>
    <row r="4" spans="1:3" x14ac:dyDescent="0.3">
      <c r="A4" s="18">
        <v>43466.083333333336</v>
      </c>
      <c r="B4">
        <v>0</v>
      </c>
      <c r="C4">
        <v>0.35</v>
      </c>
    </row>
    <row r="5" spans="1:3" x14ac:dyDescent="0.3">
      <c r="A5" s="18">
        <v>43466.125</v>
      </c>
      <c r="B5">
        <v>0</v>
      </c>
      <c r="C5">
        <v>0.38</v>
      </c>
    </row>
    <row r="6" spans="1:3" x14ac:dyDescent="0.3">
      <c r="A6" s="18">
        <v>43466.166666666664</v>
      </c>
      <c r="B6">
        <v>0</v>
      </c>
      <c r="C6">
        <v>0.28000000000000003</v>
      </c>
    </row>
    <row r="7" spans="1:3" x14ac:dyDescent="0.3">
      <c r="A7" s="18">
        <v>43466.208333333336</v>
      </c>
      <c r="B7">
        <v>0</v>
      </c>
      <c r="C7">
        <v>0.15</v>
      </c>
    </row>
    <row r="8" spans="1:3" x14ac:dyDescent="0.3">
      <c r="A8" s="18">
        <v>43466.25</v>
      </c>
      <c r="B8">
        <v>0</v>
      </c>
      <c r="C8">
        <v>0.15</v>
      </c>
    </row>
    <row r="9" spans="1:3" x14ac:dyDescent="0.3">
      <c r="A9" s="18">
        <v>43466.291666666664</v>
      </c>
      <c r="B9">
        <v>1.8326227789453999E-2</v>
      </c>
      <c r="C9">
        <v>0.3</v>
      </c>
    </row>
    <row r="10" spans="1:3" x14ac:dyDescent="0.3">
      <c r="A10" s="18">
        <v>43466.333333333336</v>
      </c>
      <c r="B10">
        <v>0.165254024585203</v>
      </c>
      <c r="C10">
        <v>0.3</v>
      </c>
    </row>
    <row r="11" spans="1:3" x14ac:dyDescent="0.3">
      <c r="A11" s="18">
        <v>43466.375</v>
      </c>
      <c r="B11">
        <v>0.33834425220505498</v>
      </c>
      <c r="C11">
        <v>0.3</v>
      </c>
    </row>
    <row r="12" spans="1:3" x14ac:dyDescent="0.3">
      <c r="A12" s="18">
        <v>43466.416666666664</v>
      </c>
      <c r="B12">
        <v>0.46434767934274801</v>
      </c>
      <c r="C12">
        <v>0.28000000000000003</v>
      </c>
    </row>
    <row r="13" spans="1:3" x14ac:dyDescent="0.3">
      <c r="A13" s="18">
        <v>43466.458333333336</v>
      </c>
      <c r="B13">
        <v>0.52431243227756297</v>
      </c>
      <c r="C13">
        <v>0.25</v>
      </c>
    </row>
    <row r="14" spans="1:3" x14ac:dyDescent="0.3">
      <c r="A14" s="18">
        <v>43466.5</v>
      </c>
      <c r="B14">
        <v>0.54835151099691404</v>
      </c>
      <c r="C14">
        <v>0.22</v>
      </c>
    </row>
    <row r="15" spans="1:3" x14ac:dyDescent="0.3">
      <c r="A15" s="18">
        <v>43466.541666666664</v>
      </c>
      <c r="B15">
        <v>0.49729685750192598</v>
      </c>
      <c r="C15">
        <v>0.2</v>
      </c>
    </row>
    <row r="16" spans="1:3" x14ac:dyDescent="0.3">
      <c r="A16" s="18">
        <v>43466.583333333336</v>
      </c>
      <c r="B16">
        <v>0.39906421139051201</v>
      </c>
      <c r="C16">
        <v>0.3</v>
      </c>
    </row>
    <row r="17" spans="1:3" x14ac:dyDescent="0.3">
      <c r="A17" s="18">
        <v>43466.625</v>
      </c>
      <c r="B17">
        <v>0.24262319849872799</v>
      </c>
      <c r="C17">
        <v>0.3</v>
      </c>
    </row>
    <row r="18" spans="1:3" x14ac:dyDescent="0.3">
      <c r="A18" s="18">
        <v>43466.666666666664</v>
      </c>
      <c r="B18">
        <v>6.3518511167673999E-2</v>
      </c>
      <c r="C18">
        <v>0.3</v>
      </c>
    </row>
    <row r="19" spans="1:3" x14ac:dyDescent="0.3">
      <c r="A19" s="18">
        <v>43466.708333333336</v>
      </c>
      <c r="B19">
        <v>0</v>
      </c>
      <c r="C19">
        <v>0.35</v>
      </c>
    </row>
    <row r="20" spans="1:3" x14ac:dyDescent="0.3">
      <c r="A20" s="18">
        <v>43466.75</v>
      </c>
      <c r="B20">
        <v>0</v>
      </c>
      <c r="C20">
        <v>0.35</v>
      </c>
    </row>
    <row r="21" spans="1:3" x14ac:dyDescent="0.3">
      <c r="A21" s="18">
        <v>43466.791666666664</v>
      </c>
      <c r="B21">
        <v>0</v>
      </c>
      <c r="C21">
        <v>0.4</v>
      </c>
    </row>
    <row r="22" spans="1:3" x14ac:dyDescent="0.3">
      <c r="A22" s="18">
        <v>43466.833333333336</v>
      </c>
      <c r="B22">
        <v>0</v>
      </c>
      <c r="C22">
        <v>0.35</v>
      </c>
    </row>
    <row r="23" spans="1:3" x14ac:dyDescent="0.3">
      <c r="A23" s="18">
        <v>43466.875</v>
      </c>
      <c r="B23">
        <v>0</v>
      </c>
      <c r="C23">
        <v>0.32</v>
      </c>
    </row>
    <row r="24" spans="1:3" x14ac:dyDescent="0.3">
      <c r="A24" s="18">
        <v>43466.916666666664</v>
      </c>
      <c r="B24">
        <v>0</v>
      </c>
      <c r="C24">
        <v>0.3</v>
      </c>
    </row>
    <row r="25" spans="1:3" x14ac:dyDescent="0.3">
      <c r="A25" s="18">
        <v>43466.958333333336</v>
      </c>
      <c r="B25">
        <v>0</v>
      </c>
      <c r="C25">
        <v>0.28000000000000003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topLeftCell="A16" workbookViewId="0">
      <selection activeCell="A25" sqref="A25:B25"/>
    </sheetView>
  </sheetViews>
  <sheetFormatPr defaultRowHeight="14.4" x14ac:dyDescent="0.3"/>
  <sheetData>
    <row r="1" spans="1:4" x14ac:dyDescent="0.3">
      <c r="A1" t="s">
        <v>125</v>
      </c>
      <c r="B1" t="s">
        <v>126</v>
      </c>
      <c r="C1" t="s">
        <v>127</v>
      </c>
      <c r="D1" t="s">
        <v>128</v>
      </c>
    </row>
    <row r="2" spans="1:4" x14ac:dyDescent="0.3">
      <c r="A2" s="18">
        <v>43466</v>
      </c>
      <c r="B2">
        <v>1</v>
      </c>
      <c r="C2">
        <v>1</v>
      </c>
      <c r="D2">
        <v>1</v>
      </c>
    </row>
    <row r="3" spans="1:4" x14ac:dyDescent="0.3">
      <c r="A3" s="18">
        <v>43466.041666666664</v>
      </c>
      <c r="B3">
        <v>1</v>
      </c>
      <c r="C3">
        <v>1</v>
      </c>
      <c r="D3">
        <v>1</v>
      </c>
    </row>
    <row r="4" spans="1:4" x14ac:dyDescent="0.3">
      <c r="A4" s="18">
        <v>43466.083333333336</v>
      </c>
      <c r="B4">
        <v>1</v>
      </c>
      <c r="C4">
        <v>1</v>
      </c>
      <c r="D4">
        <v>1</v>
      </c>
    </row>
    <row r="5" spans="1:4" x14ac:dyDescent="0.3">
      <c r="A5" s="18">
        <v>43466.125</v>
      </c>
      <c r="B5">
        <v>1</v>
      </c>
      <c r="C5">
        <v>1</v>
      </c>
      <c r="D5">
        <v>1</v>
      </c>
    </row>
    <row r="6" spans="1:4" x14ac:dyDescent="0.3">
      <c r="A6" s="18">
        <v>43466.166666666664</v>
      </c>
      <c r="B6">
        <v>1</v>
      </c>
      <c r="C6">
        <v>1</v>
      </c>
      <c r="D6">
        <v>1</v>
      </c>
    </row>
    <row r="7" spans="1:4" x14ac:dyDescent="0.3">
      <c r="A7" s="18">
        <v>43466.208333333336</v>
      </c>
      <c r="B7">
        <v>1</v>
      </c>
      <c r="C7">
        <v>1</v>
      </c>
      <c r="D7">
        <v>1</v>
      </c>
    </row>
    <row r="8" spans="1:4" x14ac:dyDescent="0.3">
      <c r="A8" s="18">
        <v>43466.25</v>
      </c>
      <c r="B8">
        <v>1</v>
      </c>
      <c r="C8">
        <v>1</v>
      </c>
      <c r="D8">
        <v>1</v>
      </c>
    </row>
    <row r="9" spans="1:4" x14ac:dyDescent="0.3">
      <c r="A9" s="18">
        <v>43466.291666666664</v>
      </c>
      <c r="B9">
        <v>1</v>
      </c>
      <c r="C9">
        <v>1</v>
      </c>
      <c r="D9">
        <v>1</v>
      </c>
    </row>
    <row r="10" spans="1:4" x14ac:dyDescent="0.3">
      <c r="A10" s="18">
        <v>43466.333333333336</v>
      </c>
      <c r="B10">
        <v>1</v>
      </c>
      <c r="C10">
        <v>1</v>
      </c>
      <c r="D10">
        <v>1</v>
      </c>
    </row>
    <row r="11" spans="1:4" x14ac:dyDescent="0.3">
      <c r="A11" s="18">
        <v>43466.375</v>
      </c>
      <c r="B11">
        <v>1</v>
      </c>
      <c r="C11">
        <v>1</v>
      </c>
      <c r="D11">
        <v>1</v>
      </c>
    </row>
    <row r="12" spans="1:4" x14ac:dyDescent="0.3">
      <c r="A12" s="18">
        <v>43466.416666666664</v>
      </c>
      <c r="B12">
        <v>1</v>
      </c>
      <c r="C12">
        <v>1</v>
      </c>
      <c r="D12">
        <v>1</v>
      </c>
    </row>
    <row r="13" spans="1:4" x14ac:dyDescent="0.3">
      <c r="A13" s="18">
        <v>43466.458333333336</v>
      </c>
      <c r="B13">
        <v>1</v>
      </c>
      <c r="C13">
        <v>1</v>
      </c>
      <c r="D13">
        <v>1</v>
      </c>
    </row>
    <row r="14" spans="1:4" x14ac:dyDescent="0.3">
      <c r="A14" s="18">
        <v>43466.5</v>
      </c>
      <c r="B14">
        <v>1</v>
      </c>
      <c r="C14">
        <v>1</v>
      </c>
      <c r="D14">
        <v>1</v>
      </c>
    </row>
    <row r="15" spans="1:4" x14ac:dyDescent="0.3">
      <c r="A15" s="18">
        <v>43466.541666666664</v>
      </c>
      <c r="B15">
        <v>1</v>
      </c>
      <c r="C15">
        <v>1</v>
      </c>
      <c r="D15">
        <v>1</v>
      </c>
    </row>
    <row r="16" spans="1:4" x14ac:dyDescent="0.3">
      <c r="A16" s="18">
        <v>43466.583333333336</v>
      </c>
      <c r="B16">
        <v>1</v>
      </c>
      <c r="C16">
        <v>1</v>
      </c>
      <c r="D16">
        <v>1</v>
      </c>
    </row>
    <row r="17" spans="1:4" x14ac:dyDescent="0.3">
      <c r="A17" s="18">
        <v>43466.625</v>
      </c>
      <c r="B17">
        <v>1</v>
      </c>
      <c r="C17">
        <v>1</v>
      </c>
      <c r="D17">
        <v>1</v>
      </c>
    </row>
    <row r="18" spans="1:4" x14ac:dyDescent="0.3">
      <c r="A18" s="18">
        <v>43466.666666666664</v>
      </c>
      <c r="B18">
        <v>1</v>
      </c>
      <c r="C18">
        <v>1</v>
      </c>
      <c r="D18">
        <v>1</v>
      </c>
    </row>
    <row r="19" spans="1:4" x14ac:dyDescent="0.3">
      <c r="A19" s="18">
        <v>43466.708333333336</v>
      </c>
      <c r="B19">
        <v>1</v>
      </c>
      <c r="C19">
        <v>1</v>
      </c>
      <c r="D19">
        <v>1</v>
      </c>
    </row>
    <row r="20" spans="1:4" x14ac:dyDescent="0.3">
      <c r="A20" s="18">
        <v>43466.75</v>
      </c>
      <c r="B20">
        <v>1</v>
      </c>
      <c r="C20">
        <v>1</v>
      </c>
      <c r="D20">
        <v>1</v>
      </c>
    </row>
    <row r="21" spans="1:4" x14ac:dyDescent="0.3">
      <c r="A21" s="18">
        <v>43466.791666666664</v>
      </c>
      <c r="B21">
        <v>1</v>
      </c>
      <c r="C21">
        <v>1</v>
      </c>
      <c r="D21">
        <v>1</v>
      </c>
    </row>
    <row r="22" spans="1:4" x14ac:dyDescent="0.3">
      <c r="A22" s="18">
        <v>43466.833333333336</v>
      </c>
      <c r="B22">
        <v>1</v>
      </c>
      <c r="C22">
        <v>1</v>
      </c>
      <c r="D22">
        <v>1</v>
      </c>
    </row>
    <row r="23" spans="1:4" x14ac:dyDescent="0.3">
      <c r="A23" s="18">
        <v>43466.875</v>
      </c>
      <c r="B23">
        <v>1</v>
      </c>
      <c r="C23">
        <v>1</v>
      </c>
      <c r="D23">
        <v>1</v>
      </c>
    </row>
    <row r="24" spans="1:4" x14ac:dyDescent="0.3">
      <c r="A24" s="18">
        <v>43466.916666666664</v>
      </c>
      <c r="B24">
        <v>1</v>
      </c>
      <c r="C24">
        <v>1</v>
      </c>
      <c r="D24">
        <v>1</v>
      </c>
    </row>
    <row r="25" spans="1:4" x14ac:dyDescent="0.3">
      <c r="A25" s="18">
        <v>43466.958333333336</v>
      </c>
      <c r="B25">
        <v>1</v>
      </c>
      <c r="C25">
        <v>1</v>
      </c>
      <c r="D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10</vt:i4>
      </vt:variant>
    </vt:vector>
  </HeadingPairs>
  <TitlesOfParts>
    <vt:vector size="10" baseType="lpstr">
      <vt:lpstr>Carrier</vt:lpstr>
      <vt:lpstr>Bus</vt:lpstr>
      <vt:lpstr>Load</vt:lpstr>
      <vt:lpstr>Line</vt:lpstr>
      <vt:lpstr>Generator</vt:lpstr>
      <vt:lpstr>Link</vt:lpstr>
      <vt:lpstr>StorageUnit</vt:lpstr>
      <vt:lpstr>Store</vt:lpstr>
      <vt:lpstr>generators_t_p_max_pu</vt:lpstr>
      <vt:lpstr>snapshots</vt:lpstr>
    </vt:vector>
  </TitlesOfParts>
  <Manager/>
  <Company>GrapeCity,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aless</cp:lastModifiedBy>
  <dcterms:created xsi:type="dcterms:W3CDTF">2025-11-05T17:54:00Z</dcterms:created>
  <dcterms:modified xsi:type="dcterms:W3CDTF">2026-05-13T19:38:49Z</dcterms:modified>
</cp:coreProperties>
</file>