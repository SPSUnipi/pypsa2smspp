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less\sms\transformation_pypsa_smspp\test\configs\data\develop\"/>
    </mc:Choice>
  </mc:AlternateContent>
  <bookViews>
    <workbookView xWindow="480" yWindow="60" windowWidth="18192" windowHeight="8508" activeTab="5"/>
  </bookViews>
  <sheets>
    <sheet name="Carrier" sheetId="1" r:id="rId1"/>
    <sheet name="Bus" sheetId="2" r:id="rId2"/>
    <sheet name="Load" sheetId="3" r:id="rId3"/>
    <sheet name="Line" sheetId="4" r:id="rId4"/>
    <sheet name="Generator" sheetId="5" r:id="rId5"/>
    <sheet name="Link" sheetId="6" r:id="rId6"/>
    <sheet name="StorageUnit" sheetId="7" r:id="rId7"/>
    <sheet name="Store" sheetId="8" r:id="rId8"/>
  </sheets>
  <calcPr calcId="152511"/>
</workbook>
</file>

<file path=xl/calcChain.xml><?xml version="1.0" encoding="utf-8"?>
<calcChain xmlns="http://schemas.openxmlformats.org/spreadsheetml/2006/main">
  <c r="M2" i="5" l="1"/>
</calcChain>
</file>

<file path=xl/sharedStrings.xml><?xml version="1.0" encoding="utf-8"?>
<sst xmlns="http://schemas.openxmlformats.org/spreadsheetml/2006/main" count="237" uniqueCount="127">
  <si>
    <t>name</t>
  </si>
  <si>
    <t>bus</t>
  </si>
  <si>
    <t>type</t>
  </si>
  <si>
    <t>carrier</t>
  </si>
  <si>
    <t>e_nom</t>
  </si>
  <si>
    <t>e_nom_mod</t>
  </si>
  <si>
    <t>e_nom_extendable</t>
  </si>
  <si>
    <t>e_nom_min</t>
  </si>
  <si>
    <t>e_nom_max</t>
  </si>
  <si>
    <t>e_min_pu</t>
  </si>
  <si>
    <t>e_max_pu</t>
  </si>
  <si>
    <t>e_initial</t>
  </si>
  <si>
    <t>e_initial_per_period</t>
  </si>
  <si>
    <t>e_cyclic</t>
  </si>
  <si>
    <t>e_cyclic_per_period</t>
  </si>
  <si>
    <t>p_set</t>
  </si>
  <si>
    <t>q_set</t>
  </si>
  <si>
    <t>sign</t>
  </si>
  <si>
    <t>marginal_cost</t>
  </si>
  <si>
    <t>marginal_cost_quadratic</t>
  </si>
  <si>
    <t>marginal_cost_storage</t>
  </si>
  <si>
    <t>capital_cost</t>
  </si>
  <si>
    <t>standing_loss</t>
  </si>
  <si>
    <t>active</t>
  </si>
  <si>
    <t>build_year</t>
  </si>
  <si>
    <t>lifetime</t>
  </si>
  <si>
    <t>e_nom_opt</t>
  </si>
  <si>
    <t>max_hours</t>
  </si>
  <si>
    <t>bus_idx</t>
  </si>
  <si>
    <t>IT0 0 H2</t>
  </si>
  <si>
    <t>H2</t>
  </si>
  <si>
    <t>True</t>
  </si>
  <si>
    <t>inf</t>
  </si>
  <si>
    <t>False</t>
  </si>
  <si>
    <t>p_nom_extendable</t>
  </si>
  <si>
    <t>cyclic_state_of_charge</t>
  </si>
  <si>
    <t>efficiency_store</t>
  </si>
  <si>
    <t>efficiency_dispatch</t>
  </si>
  <si>
    <t>p_nom</t>
  </si>
  <si>
    <t>p_nom_min</t>
  </si>
  <si>
    <t>state_of_charge_initial</t>
  </si>
  <si>
    <t>bus0</t>
  </si>
  <si>
    <t>bus1</t>
  </si>
  <si>
    <t>efficiency</t>
  </si>
  <si>
    <t>p_nom_mod</t>
  </si>
  <si>
    <t>p_nom_max</t>
  </si>
  <si>
    <t>p_min_pu</t>
  </si>
  <si>
    <t>p_max_pu</t>
  </si>
  <si>
    <t>stand_by_cost</t>
  </si>
  <si>
    <t>length</t>
  </si>
  <si>
    <t>terrain_factor</t>
  </si>
  <si>
    <t>committable</t>
  </si>
  <si>
    <t>start_up_cost</t>
  </si>
  <si>
    <t>shut_down_cost</t>
  </si>
  <si>
    <t>min_up_time</t>
  </si>
  <si>
    <t>min_down_time</t>
  </si>
  <si>
    <t>up_time_before</t>
  </si>
  <si>
    <t>down_time_before</t>
  </si>
  <si>
    <t>ramp_limit_up</t>
  </si>
  <si>
    <t>ramp_limit_down</t>
  </si>
  <si>
    <t>ramp_limit_start_up</t>
  </si>
  <si>
    <t>ramp_limit_shut_down</t>
  </si>
  <si>
    <t>p_nom_opt</t>
  </si>
  <si>
    <t>tags</t>
  </si>
  <si>
    <t>geometry</t>
  </si>
  <si>
    <t>dc</t>
  </si>
  <si>
    <t>project_status</t>
  </si>
  <si>
    <t>under_construction</t>
  </si>
  <si>
    <t>underground</t>
  </si>
  <si>
    <t>voltage</t>
  </si>
  <si>
    <t>underwater_fraction</t>
  </si>
  <si>
    <t>start_line_idx</t>
  </si>
  <si>
    <t>end_line_idx</t>
  </si>
  <si>
    <t>IT0 0 H2 Electrolysis</t>
  </si>
  <si>
    <t>IT0 0</t>
  </si>
  <si>
    <t>H2 electrolysis</t>
  </si>
  <si>
    <t>H2 fuel cell</t>
  </si>
  <si>
    <t>Generator</t>
  </si>
  <si>
    <t>control</t>
  </si>
  <si>
    <t>e_sum_min</t>
  </si>
  <si>
    <t>e_sum_max</t>
  </si>
  <si>
    <t>weight</t>
  </si>
  <si>
    <t>IT0 0 0 solar</t>
  </si>
  <si>
    <t>PQ</t>
  </si>
  <si>
    <t>solar</t>
  </si>
  <si>
    <t>s_nom_extendable</t>
  </si>
  <si>
    <t>x</t>
  </si>
  <si>
    <t>r</t>
  </si>
  <si>
    <t>s_nom</t>
  </si>
  <si>
    <t>AC</t>
  </si>
  <si>
    <t>v_nom</t>
  </si>
  <si>
    <t>y</t>
  </si>
  <si>
    <t>unit</t>
  </si>
  <si>
    <t>location</t>
  </si>
  <si>
    <t>v_mag_pu_set</t>
  </si>
  <si>
    <t>v_mag_pu_min</t>
  </si>
  <si>
    <t>v_mag_pu_max</t>
  </si>
  <si>
    <t>generator</t>
  </si>
  <si>
    <t>sub_network</t>
  </si>
  <si>
    <t>substation_off</t>
  </si>
  <si>
    <t>country</t>
  </si>
  <si>
    <t>substation_lv</t>
  </si>
  <si>
    <t>Slack</t>
  </si>
  <si>
    <t>IT</t>
  </si>
  <si>
    <t>color</t>
  </si>
  <si>
    <t>#16ba24</t>
  </si>
  <si>
    <t>#f5b111</t>
  </si>
  <si>
    <t>slack</t>
  </si>
  <si>
    <t>#adab00</t>
  </si>
  <si>
    <t>electrical grid selling</t>
  </si>
  <si>
    <t>#f7f300</t>
  </si>
  <si>
    <t>gas</t>
  </si>
  <si>
    <t>#6b4c04</t>
  </si>
  <si>
    <t>gas CHP</t>
  </si>
  <si>
    <t>#210af5</t>
  </si>
  <si>
    <t>hydro</t>
  </si>
  <si>
    <t>#0cdaf5</t>
  </si>
  <si>
    <t>battery</t>
  </si>
  <si>
    <t>#16942d</t>
  </si>
  <si>
    <t>thermal storage</t>
  </si>
  <si>
    <t>#c904a9</t>
  </si>
  <si>
    <t>resistive heater</t>
  </si>
  <si>
    <t>#66039c</t>
  </si>
  <si>
    <t>wind</t>
  </si>
  <si>
    <t>battery_link</t>
  </si>
  <si>
    <t>diesel</t>
  </si>
  <si>
    <t>IT0 0 H2 Fuel 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</si>
</sst>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/>
    <xf numFmtId="3" fontId="1" fillId="0" borderId="1" xfId="0" applyNumberFormat="1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0" fontId="0" fillId="0" borderId="0" xfId="0" applyAlignment="1"/>
    <xf numFmtId="3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3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7"/>
  <sheetViews>
    <sheetView workbookViewId="0"/>
  </sheetViews>
  <sheetFormatPr defaultRowHeight="14.4" x14ac:dyDescent="0.3"/>
  <cols>
    <col min="1" max="1" width="21.33203125" style="5" bestFit="1" customWidth="1"/>
    <col min="2" max="2" width="13.5546875" style="5" bestFit="1" customWidth="1"/>
  </cols>
  <sheetData>
    <row r="1" spans="1:2" ht="18.75" customHeight="1" x14ac:dyDescent="0.3">
      <c r="A1" s="1" t="s">
        <v>0</v>
      </c>
      <c r="B1" s="1" t="s">
        <v>104</v>
      </c>
    </row>
    <row r="2" spans="1:2" ht="18.75" customHeight="1" x14ac:dyDescent="0.3">
      <c r="A2" s="1" t="s">
        <v>89</v>
      </c>
      <c r="B2" s="1" t="s">
        <v>105</v>
      </c>
    </row>
    <row r="3" spans="1:2" ht="18.75" customHeight="1" x14ac:dyDescent="0.3">
      <c r="A3" s="1" t="s">
        <v>84</v>
      </c>
      <c r="B3" s="1" t="s">
        <v>106</v>
      </c>
    </row>
    <row r="4" spans="1:2" ht="18.75" customHeight="1" x14ac:dyDescent="0.3">
      <c r="A4" s="1" t="s">
        <v>107</v>
      </c>
      <c r="B4" s="1" t="s">
        <v>108</v>
      </c>
    </row>
    <row r="5" spans="1:2" ht="18.75" customHeight="1" x14ac:dyDescent="0.3">
      <c r="A5" s="1" t="s">
        <v>109</v>
      </c>
      <c r="B5" s="1" t="s">
        <v>110</v>
      </c>
    </row>
    <row r="6" spans="1:2" ht="18.75" customHeight="1" x14ac:dyDescent="0.3">
      <c r="A6" s="1" t="s">
        <v>111</v>
      </c>
      <c r="B6" s="1" t="s">
        <v>112</v>
      </c>
    </row>
    <row r="7" spans="1:2" ht="18.75" customHeight="1" x14ac:dyDescent="0.3">
      <c r="A7" s="1" t="s">
        <v>113</v>
      </c>
      <c r="B7" s="1" t="s">
        <v>114</v>
      </c>
    </row>
    <row r="8" spans="1:2" ht="18.75" customHeight="1" x14ac:dyDescent="0.3">
      <c r="A8" s="1" t="s">
        <v>115</v>
      </c>
      <c r="B8" s="1" t="s">
        <v>116</v>
      </c>
    </row>
    <row r="9" spans="1:2" ht="18.75" customHeight="1" x14ac:dyDescent="0.3">
      <c r="A9" s="1" t="s">
        <v>117</v>
      </c>
      <c r="B9" s="1" t="s">
        <v>118</v>
      </c>
    </row>
    <row r="10" spans="1:2" ht="18.75" customHeight="1" x14ac:dyDescent="0.3">
      <c r="A10" s="1" t="s">
        <v>119</v>
      </c>
      <c r="B10" s="1" t="s">
        <v>120</v>
      </c>
    </row>
    <row r="11" spans="1:2" ht="18.75" customHeight="1" x14ac:dyDescent="0.3">
      <c r="A11" s="1" t="s">
        <v>121</v>
      </c>
      <c r="B11" s="1" t="s">
        <v>122</v>
      </c>
    </row>
    <row r="12" spans="1:2" ht="18.75" customHeight="1" x14ac:dyDescent="0.3">
      <c r="A12" s="1" t="s">
        <v>123</v>
      </c>
      <c r="B12" s="1" t="s">
        <v>122</v>
      </c>
    </row>
    <row r="13" spans="1:2" ht="18.75" customHeight="1" x14ac:dyDescent="0.3">
      <c r="A13" s="1" t="s">
        <v>124</v>
      </c>
      <c r="B13" s="1" t="s">
        <v>122</v>
      </c>
    </row>
    <row r="14" spans="1:2" ht="18.75" customHeight="1" x14ac:dyDescent="0.3">
      <c r="A14" s="1" t="s">
        <v>30</v>
      </c>
      <c r="B14" s="1" t="s">
        <v>118</v>
      </c>
    </row>
    <row r="15" spans="1:2" ht="18.75" customHeight="1" x14ac:dyDescent="0.3">
      <c r="A15" s="1" t="s">
        <v>75</v>
      </c>
      <c r="B15" s="1" t="s">
        <v>118</v>
      </c>
    </row>
    <row r="16" spans="1:2" ht="18.75" customHeight="1" x14ac:dyDescent="0.3">
      <c r="A16" s="1" t="s">
        <v>76</v>
      </c>
      <c r="B16" s="1" t="s">
        <v>118</v>
      </c>
    </row>
    <row r="17" spans="1:2" ht="18.75" customHeight="1" x14ac:dyDescent="0.3">
      <c r="A17" s="1" t="s">
        <v>125</v>
      </c>
      <c r="B17" s="1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Q3"/>
  <sheetViews>
    <sheetView workbookViewId="0"/>
  </sheetViews>
  <sheetFormatPr defaultRowHeight="14.4" x14ac:dyDescent="0.3"/>
  <cols>
    <col min="1" max="1" width="8.88671875" style="17" bestFit="1" customWidth="1"/>
    <col min="2" max="2" width="8.88671875" style="18" bestFit="1" customWidth="1"/>
    <col min="3" max="3" width="8.88671875" style="5" bestFit="1" customWidth="1"/>
    <col min="4" max="5" width="8.88671875" style="19" bestFit="1" customWidth="1"/>
    <col min="6" max="6" width="8.88671875" style="17" bestFit="1" customWidth="1"/>
    <col min="7" max="7" width="8.88671875" style="5" bestFit="1" customWidth="1"/>
    <col min="8" max="8" width="13.5546875" style="17" bestFit="1" customWidth="1"/>
    <col min="9" max="10" width="13.5546875" style="18" bestFit="1" customWidth="1"/>
    <col min="11" max="12" width="13.5546875" style="17" bestFit="1" customWidth="1"/>
    <col min="13" max="14" width="13.5546875" style="5" bestFit="1" customWidth="1"/>
    <col min="15" max="15" width="13.5546875" style="6" bestFit="1" customWidth="1"/>
    <col min="16" max="16" width="13.5546875" style="17" bestFit="1" customWidth="1"/>
    <col min="17" max="17" width="13.5546875" style="6" bestFit="1" customWidth="1"/>
  </cols>
  <sheetData>
    <row r="1" spans="1:17" ht="18.75" customHeight="1" x14ac:dyDescent="0.3">
      <c r="A1" s="9" t="s">
        <v>0</v>
      </c>
      <c r="B1" s="11" t="s">
        <v>90</v>
      </c>
      <c r="C1" s="9" t="s">
        <v>2</v>
      </c>
      <c r="D1" s="10" t="s">
        <v>86</v>
      </c>
      <c r="E1" s="10" t="s">
        <v>91</v>
      </c>
      <c r="F1" s="9" t="s">
        <v>3</v>
      </c>
      <c r="G1" s="9" t="s">
        <v>92</v>
      </c>
      <c r="H1" s="9" t="s">
        <v>93</v>
      </c>
      <c r="I1" s="11" t="s">
        <v>94</v>
      </c>
      <c r="J1" s="11" t="s">
        <v>95</v>
      </c>
      <c r="K1" s="9" t="s">
        <v>96</v>
      </c>
      <c r="L1" s="9" t="s">
        <v>78</v>
      </c>
      <c r="M1" s="9" t="s">
        <v>97</v>
      </c>
      <c r="N1" s="9" t="s">
        <v>98</v>
      </c>
      <c r="O1" s="11" t="s">
        <v>99</v>
      </c>
      <c r="P1" s="9" t="s">
        <v>100</v>
      </c>
      <c r="Q1" s="11" t="s">
        <v>101</v>
      </c>
    </row>
    <row r="2" spans="1:17" ht="18.75" customHeight="1" x14ac:dyDescent="0.3">
      <c r="A2" s="9" t="s">
        <v>74</v>
      </c>
      <c r="B2" s="11">
        <v>380</v>
      </c>
      <c r="C2" s="1"/>
      <c r="D2" s="10">
        <v>11.861807419676801</v>
      </c>
      <c r="E2" s="10">
        <v>43.502700216278299</v>
      </c>
      <c r="F2" s="9" t="s">
        <v>89</v>
      </c>
      <c r="G2" s="1"/>
      <c r="H2" s="9"/>
      <c r="I2" s="11">
        <v>1</v>
      </c>
      <c r="J2" s="11">
        <v>0</v>
      </c>
      <c r="K2" s="9" t="s">
        <v>32</v>
      </c>
      <c r="L2" s="9" t="s">
        <v>102</v>
      </c>
      <c r="M2" s="9"/>
      <c r="N2" s="9"/>
      <c r="O2" s="11">
        <v>1</v>
      </c>
      <c r="P2" s="9" t="s">
        <v>103</v>
      </c>
      <c r="Q2" s="11">
        <v>1</v>
      </c>
    </row>
    <row r="3" spans="1:17" ht="18.75" customHeight="1" x14ac:dyDescent="0.3">
      <c r="A3" s="9" t="s">
        <v>29</v>
      </c>
      <c r="B3" s="11">
        <v>1</v>
      </c>
      <c r="C3" s="1"/>
      <c r="D3" s="10">
        <v>11.86</v>
      </c>
      <c r="E3" s="10">
        <v>43.5</v>
      </c>
      <c r="F3" s="9" t="s">
        <v>30</v>
      </c>
      <c r="G3" s="1"/>
      <c r="H3" s="9" t="s">
        <v>74</v>
      </c>
      <c r="I3" s="11">
        <v>1</v>
      </c>
      <c r="J3" s="11">
        <v>0</v>
      </c>
      <c r="K3" s="9" t="s">
        <v>32</v>
      </c>
      <c r="L3" s="9" t="s">
        <v>83</v>
      </c>
      <c r="M3" s="1"/>
      <c r="N3" s="1"/>
      <c r="O3" s="2"/>
      <c r="P3" s="9" t="s">
        <v>103</v>
      </c>
      <c r="Q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"/>
  <sheetViews>
    <sheetView workbookViewId="0"/>
  </sheetViews>
  <sheetFormatPr defaultRowHeight="14.4" x14ac:dyDescent="0.3"/>
  <cols>
    <col min="1" max="3" width="8.88671875" style="17" bestFit="1" customWidth="1"/>
  </cols>
  <sheetData>
    <row r="1" spans="1:3" ht="19.5" customHeight="1" x14ac:dyDescent="0.3">
      <c r="A1" s="9" t="s">
        <v>0</v>
      </c>
      <c r="B1" s="9" t="s">
        <v>3</v>
      </c>
      <c r="C1" s="9" t="s">
        <v>1</v>
      </c>
    </row>
    <row r="2" spans="1:3" ht="19.5" customHeight="1" x14ac:dyDescent="0.3">
      <c r="A2" s="9" t="s">
        <v>74</v>
      </c>
      <c r="B2" s="9" t="s">
        <v>89</v>
      </c>
      <c r="C2" s="9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/>
  </sheetViews>
  <sheetFormatPr defaultRowHeight="14.4" x14ac:dyDescent="0.3"/>
  <cols>
    <col min="1" max="4" width="8.88671875" style="5" bestFit="1" customWidth="1"/>
    <col min="5" max="5" width="16.5546875" style="5" bestFit="1" customWidth="1"/>
    <col min="6" max="8" width="8.88671875" style="5" bestFit="1" customWidth="1"/>
  </cols>
  <sheetData>
    <row r="1" spans="1:8" ht="18.75" customHeight="1" x14ac:dyDescent="0.3">
      <c r="A1" s="9" t="s">
        <v>0</v>
      </c>
      <c r="B1" s="9" t="s">
        <v>3</v>
      </c>
      <c r="C1" s="9" t="s">
        <v>41</v>
      </c>
      <c r="D1" s="9" t="s">
        <v>42</v>
      </c>
      <c r="E1" s="9" t="s">
        <v>85</v>
      </c>
      <c r="F1" s="9" t="s">
        <v>86</v>
      </c>
      <c r="G1" s="9" t="s">
        <v>87</v>
      </c>
      <c r="H1" s="9" t="s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M2"/>
  <sheetViews>
    <sheetView workbookViewId="0">
      <selection activeCell="G3" sqref="G3"/>
    </sheetView>
  </sheetViews>
  <sheetFormatPr defaultRowHeight="14.4" x14ac:dyDescent="0.3"/>
  <cols>
    <col min="1" max="1" width="8.109375" style="5" bestFit="1" customWidth="1"/>
    <col min="2" max="2" width="7.44140625" style="5" bestFit="1" customWidth="1"/>
    <col min="3" max="3" width="9" style="5" bestFit="1" customWidth="1"/>
    <col min="4" max="4" width="8.88671875" style="5" bestFit="1" customWidth="1"/>
    <col min="5" max="5" width="8.88671875" style="8" bestFit="1" customWidth="1"/>
    <col min="6" max="6" width="13.5546875" style="6" bestFit="1" customWidth="1"/>
    <col min="7" max="7" width="13.5546875" style="5" bestFit="1" customWidth="1"/>
    <col min="8" max="9" width="13.5546875" style="8" bestFit="1" customWidth="1"/>
    <col min="10" max="12" width="13.5546875" style="6" bestFit="1" customWidth="1"/>
    <col min="13" max="14" width="13.5546875" style="5" bestFit="1" customWidth="1"/>
    <col min="15" max="16" width="13.5546875" style="6" bestFit="1" customWidth="1"/>
    <col min="17" max="17" width="13.5546875" style="5" bestFit="1" customWidth="1"/>
    <col min="18" max="18" width="13.5546875" style="8" bestFit="1" customWidth="1"/>
    <col min="19" max="19" width="13.5546875" style="6" bestFit="1" customWidth="1"/>
    <col min="20" max="20" width="13.5546875" style="5" bestFit="1" customWidth="1"/>
    <col min="21" max="22" width="13.5546875" style="6" bestFit="1" customWidth="1"/>
    <col min="23" max="23" width="13.5546875" style="8" bestFit="1" customWidth="1"/>
    <col min="24" max="24" width="13.5546875" style="6" bestFit="1" customWidth="1"/>
    <col min="25" max="25" width="13.5546875" style="5" bestFit="1" customWidth="1"/>
    <col min="26" max="32" width="13.5546875" style="6" bestFit="1" customWidth="1"/>
    <col min="33" max="34" width="13.5546875" style="5" bestFit="1" customWidth="1"/>
    <col min="35" max="37" width="13.5546875" style="6" bestFit="1" customWidth="1"/>
    <col min="38" max="38" width="13.5546875" style="8" bestFit="1" customWidth="1"/>
    <col min="39" max="39" width="13.5546875" style="6" bestFit="1" customWidth="1"/>
  </cols>
  <sheetData>
    <row r="1" spans="1:39" ht="18.75" customHeight="1" x14ac:dyDescent="0.3">
      <c r="A1" s="1" t="s">
        <v>77</v>
      </c>
      <c r="B1" s="1" t="s">
        <v>1</v>
      </c>
      <c r="C1" s="1" t="s">
        <v>78</v>
      </c>
      <c r="D1" s="1" t="s">
        <v>2</v>
      </c>
      <c r="E1" s="14" t="s">
        <v>38</v>
      </c>
      <c r="F1" s="15" t="s">
        <v>44</v>
      </c>
      <c r="G1" s="1" t="s">
        <v>34</v>
      </c>
      <c r="H1" s="14" t="s">
        <v>39</v>
      </c>
      <c r="I1" s="14" t="s">
        <v>45</v>
      </c>
      <c r="J1" s="15" t="s">
        <v>46</v>
      </c>
      <c r="K1" s="15" t="s">
        <v>47</v>
      </c>
      <c r="L1" s="15" t="s">
        <v>15</v>
      </c>
      <c r="M1" s="1" t="s">
        <v>79</v>
      </c>
      <c r="N1" s="1" t="s">
        <v>80</v>
      </c>
      <c r="O1" s="15" t="s">
        <v>16</v>
      </c>
      <c r="P1" s="15" t="s">
        <v>17</v>
      </c>
      <c r="Q1" s="1" t="s">
        <v>3</v>
      </c>
      <c r="R1" s="14" t="s">
        <v>18</v>
      </c>
      <c r="S1" s="15" t="s">
        <v>19</v>
      </c>
      <c r="T1" s="1" t="s">
        <v>23</v>
      </c>
      <c r="U1" s="15" t="s">
        <v>24</v>
      </c>
      <c r="V1" s="15" t="s">
        <v>25</v>
      </c>
      <c r="W1" s="14" t="s">
        <v>21</v>
      </c>
      <c r="X1" s="15" t="s">
        <v>43</v>
      </c>
      <c r="Y1" s="1" t="s">
        <v>51</v>
      </c>
      <c r="Z1" s="15" t="s">
        <v>52</v>
      </c>
      <c r="AA1" s="15" t="s">
        <v>53</v>
      </c>
      <c r="AB1" s="15" t="s">
        <v>48</v>
      </c>
      <c r="AC1" s="15" t="s">
        <v>54</v>
      </c>
      <c r="AD1" s="15" t="s">
        <v>55</v>
      </c>
      <c r="AE1" s="15" t="s">
        <v>56</v>
      </c>
      <c r="AF1" s="15" t="s">
        <v>57</v>
      </c>
      <c r="AG1" s="1" t="s">
        <v>58</v>
      </c>
      <c r="AH1" s="1" t="s">
        <v>59</v>
      </c>
      <c r="AI1" s="15" t="s">
        <v>60</v>
      </c>
      <c r="AJ1" s="15" t="s">
        <v>61</v>
      </c>
      <c r="AK1" s="15" t="s">
        <v>81</v>
      </c>
      <c r="AL1" s="14" t="s">
        <v>62</v>
      </c>
      <c r="AM1" s="15" t="s">
        <v>28</v>
      </c>
    </row>
    <row r="2" spans="1:39" ht="19.5" customHeight="1" x14ac:dyDescent="0.3">
      <c r="A2" s="1" t="s">
        <v>82</v>
      </c>
      <c r="B2" s="1" t="s">
        <v>74</v>
      </c>
      <c r="C2" s="1" t="s">
        <v>83</v>
      </c>
      <c r="D2" s="1"/>
      <c r="E2" s="4">
        <v>19711.869183731302</v>
      </c>
      <c r="F2" s="2">
        <v>0</v>
      </c>
      <c r="G2" s="1" t="s">
        <v>31</v>
      </c>
      <c r="H2" s="4">
        <v>19711.869183731302</v>
      </c>
      <c r="I2" s="4">
        <v>725545.55299179</v>
      </c>
      <c r="J2" s="2">
        <v>0</v>
      </c>
      <c r="K2" s="2">
        <v>1</v>
      </c>
      <c r="L2" s="2">
        <v>0</v>
      </c>
      <c r="M2" s="16" t="e">
        <f>-inf</f>
        <v>#NAME?</v>
      </c>
      <c r="N2" s="1" t="s">
        <v>32</v>
      </c>
      <c r="O2" s="2">
        <v>0</v>
      </c>
      <c r="P2" s="2">
        <v>1</v>
      </c>
      <c r="Q2" s="1" t="s">
        <v>84</v>
      </c>
      <c r="R2" s="4">
        <v>0.01</v>
      </c>
      <c r="S2" s="2">
        <v>0</v>
      </c>
      <c r="T2" s="1" t="s">
        <v>31</v>
      </c>
      <c r="U2" s="2">
        <v>0</v>
      </c>
      <c r="V2" s="2">
        <v>35</v>
      </c>
      <c r="W2" s="4">
        <v>55</v>
      </c>
      <c r="X2" s="2">
        <v>1</v>
      </c>
      <c r="Y2" s="1" t="s">
        <v>33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1</v>
      </c>
      <c r="AF2" s="2">
        <v>0</v>
      </c>
      <c r="AG2" s="1"/>
      <c r="AH2" s="1"/>
      <c r="AI2" s="2">
        <v>1</v>
      </c>
      <c r="AJ2" s="2">
        <v>1</v>
      </c>
      <c r="AK2" s="2">
        <v>1</v>
      </c>
      <c r="AL2" s="4">
        <v>62875.819329802704</v>
      </c>
      <c r="AM2" s="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S3"/>
  <sheetViews>
    <sheetView tabSelected="1" workbookViewId="0">
      <selection activeCell="P3" sqref="P3"/>
    </sheetView>
  </sheetViews>
  <sheetFormatPr defaultRowHeight="14.4" x14ac:dyDescent="0.3"/>
  <cols>
    <col min="1" max="1" width="19.5546875" style="5" bestFit="1" customWidth="1"/>
    <col min="2" max="4" width="8.88671875" style="5" bestFit="1" customWidth="1"/>
    <col min="5" max="5" width="16.6640625" style="5" bestFit="1" customWidth="1"/>
    <col min="6" max="6" width="9" style="8" bestFit="1" customWidth="1"/>
    <col min="7" max="7" width="9.44140625" style="5" bestFit="1" customWidth="1"/>
    <col min="8" max="8" width="8.88671875" style="6" bestFit="1" customWidth="1"/>
    <col min="9" max="9" width="8.88671875" style="5" bestFit="1" customWidth="1"/>
    <col min="10" max="11" width="8.88671875" style="6" bestFit="1" customWidth="1"/>
    <col min="12" max="12" width="8.88671875" style="5" bestFit="1" customWidth="1"/>
    <col min="13" max="13" width="8.88671875" style="6" bestFit="1" customWidth="1"/>
    <col min="14" max="14" width="8.88671875" style="13" bestFit="1" customWidth="1"/>
    <col min="15" max="17" width="8.88671875" style="6" bestFit="1" customWidth="1"/>
    <col min="18" max="18" width="8.88671875" style="8" bestFit="1" customWidth="1"/>
    <col min="19" max="23" width="8.88671875" style="6" bestFit="1" customWidth="1"/>
    <col min="24" max="24" width="8.88671875" style="5" bestFit="1" customWidth="1"/>
    <col min="25" max="30" width="8.88671875" style="6" bestFit="1" customWidth="1"/>
    <col min="31" max="31" width="8.88671875" style="5" bestFit="1" customWidth="1"/>
    <col min="32" max="32" width="13.5546875" style="5" bestFit="1" customWidth="1"/>
    <col min="33" max="35" width="13.5546875" style="6" bestFit="1" customWidth="1"/>
    <col min="36" max="37" width="13.5546875" style="5" bestFit="1" customWidth="1"/>
    <col min="38" max="38" width="13.5546875" style="7" bestFit="1" customWidth="1"/>
    <col min="39" max="39" width="13.5546875" style="5" bestFit="1" customWidth="1"/>
    <col min="40" max="43" width="13.5546875" style="7" bestFit="1" customWidth="1"/>
    <col min="44" max="45" width="13.5546875" style="6" bestFit="1" customWidth="1"/>
  </cols>
  <sheetData>
    <row r="1" spans="1:45" ht="18.75" customHeight="1" x14ac:dyDescent="0.3">
      <c r="A1" s="9" t="s">
        <v>0</v>
      </c>
      <c r="B1" s="9" t="s">
        <v>41</v>
      </c>
      <c r="C1" s="9" t="s">
        <v>42</v>
      </c>
      <c r="D1" s="9" t="s">
        <v>2</v>
      </c>
      <c r="E1" s="9" t="s">
        <v>3</v>
      </c>
      <c r="F1" s="10" t="s">
        <v>43</v>
      </c>
      <c r="G1" s="9" t="s">
        <v>23</v>
      </c>
      <c r="H1" s="11" t="s">
        <v>24</v>
      </c>
      <c r="I1" s="9" t="s">
        <v>25</v>
      </c>
      <c r="J1" s="11" t="s">
        <v>38</v>
      </c>
      <c r="K1" s="11" t="s">
        <v>44</v>
      </c>
      <c r="L1" s="9" t="s">
        <v>34</v>
      </c>
      <c r="M1" s="11" t="s">
        <v>39</v>
      </c>
      <c r="N1" s="9" t="s">
        <v>45</v>
      </c>
      <c r="O1" s="11" t="s">
        <v>15</v>
      </c>
      <c r="P1" s="11" t="s">
        <v>46</v>
      </c>
      <c r="Q1" s="11" t="s">
        <v>47</v>
      </c>
      <c r="R1" s="10" t="s">
        <v>21</v>
      </c>
      <c r="S1" s="11" t="s">
        <v>18</v>
      </c>
      <c r="T1" s="11" t="s">
        <v>19</v>
      </c>
      <c r="U1" s="11" t="s">
        <v>48</v>
      </c>
      <c r="V1" s="11" t="s">
        <v>49</v>
      </c>
      <c r="W1" s="11" t="s">
        <v>50</v>
      </c>
      <c r="X1" s="9" t="s">
        <v>51</v>
      </c>
      <c r="Y1" s="11" t="s">
        <v>52</v>
      </c>
      <c r="Z1" s="11" t="s">
        <v>53</v>
      </c>
      <c r="AA1" s="11" t="s">
        <v>54</v>
      </c>
      <c r="AB1" s="11" t="s">
        <v>55</v>
      </c>
      <c r="AC1" s="11" t="s">
        <v>56</v>
      </c>
      <c r="AD1" s="11" t="s">
        <v>57</v>
      </c>
      <c r="AE1" s="9" t="s">
        <v>58</v>
      </c>
      <c r="AF1" s="9" t="s">
        <v>59</v>
      </c>
      <c r="AG1" s="11" t="s">
        <v>60</v>
      </c>
      <c r="AH1" s="11" t="s">
        <v>61</v>
      </c>
      <c r="AI1" s="11" t="s">
        <v>62</v>
      </c>
      <c r="AJ1" s="9" t="s">
        <v>63</v>
      </c>
      <c r="AK1" s="9" t="s">
        <v>64</v>
      </c>
      <c r="AL1" s="9" t="s">
        <v>65</v>
      </c>
      <c r="AM1" s="9" t="s">
        <v>66</v>
      </c>
      <c r="AN1" s="9" t="s">
        <v>67</v>
      </c>
      <c r="AO1" s="9" t="s">
        <v>68</v>
      </c>
      <c r="AP1" s="9" t="s">
        <v>69</v>
      </c>
      <c r="AQ1" s="9" t="s">
        <v>70</v>
      </c>
      <c r="AR1" s="11" t="s">
        <v>71</v>
      </c>
      <c r="AS1" s="11" t="s">
        <v>72</v>
      </c>
    </row>
    <row r="2" spans="1:45" ht="18.75" customHeight="1" x14ac:dyDescent="0.3">
      <c r="A2" s="1" t="s">
        <v>73</v>
      </c>
      <c r="B2" s="1" t="s">
        <v>74</v>
      </c>
      <c r="C2" s="1" t="s">
        <v>29</v>
      </c>
      <c r="D2" s="1"/>
      <c r="E2" s="1" t="s">
        <v>75</v>
      </c>
      <c r="F2" s="4">
        <v>0.57999999999999996</v>
      </c>
      <c r="G2" s="1" t="s">
        <v>31</v>
      </c>
      <c r="H2" s="2">
        <v>0</v>
      </c>
      <c r="I2" s="1" t="s">
        <v>32</v>
      </c>
      <c r="J2" s="2">
        <v>10</v>
      </c>
      <c r="K2" s="2">
        <v>0</v>
      </c>
      <c r="L2" s="1" t="s">
        <v>31</v>
      </c>
      <c r="M2" s="2">
        <v>0</v>
      </c>
      <c r="N2" s="12" t="s">
        <v>32</v>
      </c>
      <c r="O2" s="2">
        <v>0</v>
      </c>
      <c r="P2" s="2">
        <v>0</v>
      </c>
      <c r="Q2" s="2">
        <v>1</v>
      </c>
      <c r="R2" s="4">
        <v>251</v>
      </c>
      <c r="S2" s="2">
        <v>0</v>
      </c>
      <c r="T2" s="2">
        <v>0</v>
      </c>
      <c r="U2" s="2">
        <v>0</v>
      </c>
      <c r="V2" s="2">
        <v>0</v>
      </c>
      <c r="W2" s="2">
        <v>1</v>
      </c>
      <c r="X2" s="1" t="s">
        <v>33</v>
      </c>
      <c r="Y2" s="2">
        <v>0</v>
      </c>
      <c r="Z2" s="2">
        <v>0</v>
      </c>
      <c r="AA2" s="2">
        <v>0</v>
      </c>
      <c r="AB2" s="2">
        <v>0</v>
      </c>
      <c r="AC2" s="2">
        <v>1</v>
      </c>
      <c r="AD2" s="2">
        <v>0</v>
      </c>
      <c r="AE2" s="1"/>
      <c r="AF2" s="1"/>
      <c r="AG2" s="2">
        <v>1</v>
      </c>
      <c r="AH2" s="2">
        <v>1</v>
      </c>
      <c r="AI2" s="2">
        <v>0</v>
      </c>
      <c r="AJ2" s="1"/>
      <c r="AK2" s="1"/>
      <c r="AL2" s="2"/>
      <c r="AM2" s="1"/>
      <c r="AN2" s="2"/>
      <c r="AO2" s="2"/>
      <c r="AP2" s="2"/>
      <c r="AQ2" s="4"/>
      <c r="AR2" s="2">
        <v>0</v>
      </c>
      <c r="AS2" s="2">
        <v>2</v>
      </c>
    </row>
    <row r="3" spans="1:45" x14ac:dyDescent="0.3">
      <c r="A3" t="s">
        <v>126</v>
      </c>
      <c r="B3" t="s">
        <v>29</v>
      </c>
      <c r="C3" t="s">
        <v>74</v>
      </c>
      <c r="D3"/>
      <c r="E3" t="s">
        <v>76</v>
      </c>
      <c r="F3">
        <v>0.5</v>
      </c>
      <c r="G3" t="s">
        <v>31</v>
      </c>
      <c r="H3">
        <v>0</v>
      </c>
      <c r="I3" t="s">
        <v>32</v>
      </c>
      <c r="J3">
        <v>0</v>
      </c>
      <c r="K3">
        <v>0</v>
      </c>
      <c r="L3" t="s">
        <v>31</v>
      </c>
      <c r="M3">
        <v>0</v>
      </c>
      <c r="N3" t="s">
        <v>32</v>
      </c>
      <c r="O3">
        <v>0</v>
      </c>
      <c r="P3">
        <v>0</v>
      </c>
      <c r="Q3">
        <v>1</v>
      </c>
      <c r="R3">
        <v>132</v>
      </c>
      <c r="S3">
        <v>0</v>
      </c>
      <c r="T3">
        <v>0</v>
      </c>
      <c r="U3">
        <v>0</v>
      </c>
      <c r="V3">
        <v>0</v>
      </c>
      <c r="W3">
        <v>1</v>
      </c>
      <c r="X3" t="s">
        <v>33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/>
      <c r="AF3"/>
      <c r="AG3">
        <v>1</v>
      </c>
      <c r="AH3">
        <v>1</v>
      </c>
      <c r="AI3">
        <v>0</v>
      </c>
      <c r="AJ3"/>
      <c r="AK3"/>
      <c r="AL3"/>
      <c r="AM3"/>
      <c r="AN3"/>
      <c r="AO3"/>
      <c r="AP3"/>
      <c r="AQ3"/>
      <c r="AR3">
        <v>2</v>
      </c>
      <c r="AS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1"/>
  <sheetViews>
    <sheetView workbookViewId="0"/>
  </sheetViews>
  <sheetFormatPr defaultRowHeight="14.4" x14ac:dyDescent="0.3"/>
  <cols>
    <col min="1" max="1" width="18.6640625" style="5" bestFit="1" customWidth="1"/>
    <col min="2" max="2" width="9" style="5" bestFit="1" customWidth="1"/>
    <col min="3" max="3" width="13.5546875" style="5" bestFit="1" customWidth="1"/>
    <col min="4" max="4" width="16.6640625" style="5" bestFit="1" customWidth="1"/>
    <col min="5" max="5" width="30.33203125" style="5" bestFit="1" customWidth="1"/>
    <col min="6" max="6" width="14.33203125" style="5" bestFit="1" customWidth="1"/>
    <col min="7" max="7" width="16.6640625" style="5" bestFit="1" customWidth="1"/>
    <col min="8" max="8" width="11.88671875" style="5" bestFit="1" customWidth="1"/>
    <col min="9" max="9" width="10" style="5" bestFit="1" customWidth="1"/>
    <col min="10" max="12" width="13.5546875" style="5" bestFit="1" customWidth="1"/>
  </cols>
  <sheetData>
    <row r="1" spans="1:12" ht="18.75" customHeight="1" x14ac:dyDescent="0.3">
      <c r="A1" s="1" t="s">
        <v>0</v>
      </c>
      <c r="B1" s="1" t="s">
        <v>1</v>
      </c>
      <c r="C1" s="1" t="s">
        <v>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22</v>
      </c>
      <c r="I1" s="1" t="s">
        <v>27</v>
      </c>
      <c r="J1" s="1" t="s">
        <v>38</v>
      </c>
      <c r="K1" s="1" t="s">
        <v>39</v>
      </c>
      <c r="L1" s="1" t="s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C2"/>
  <sheetViews>
    <sheetView workbookViewId="0"/>
  </sheetViews>
  <sheetFormatPr defaultRowHeight="14.4" x14ac:dyDescent="0.3"/>
  <cols>
    <col min="1" max="3" width="8.88671875" style="5" bestFit="1" customWidth="1"/>
    <col min="4" max="4" width="16.6640625" style="5" bestFit="1" customWidth="1"/>
    <col min="5" max="5" width="13.5546875" style="6" bestFit="1" customWidth="1"/>
    <col min="6" max="6" width="13.5546875" style="7" bestFit="1" customWidth="1"/>
    <col min="7" max="7" width="13.5546875" style="5" bestFit="1" customWidth="1"/>
    <col min="8" max="8" width="13.5546875" style="6" bestFit="1" customWidth="1"/>
    <col min="9" max="9" width="13.5546875" style="5" bestFit="1" customWidth="1"/>
    <col min="10" max="12" width="13.5546875" style="6" bestFit="1" customWidth="1"/>
    <col min="13" max="15" width="13.5546875" style="5" bestFit="1" customWidth="1"/>
    <col min="16" max="21" width="13.5546875" style="6" bestFit="1" customWidth="1"/>
    <col min="22" max="22" width="13.5546875" style="8" bestFit="1" customWidth="1"/>
    <col min="23" max="23" width="13.5546875" style="6" bestFit="1" customWidth="1"/>
    <col min="24" max="24" width="13.5546875" style="5" bestFit="1" customWidth="1"/>
    <col min="25" max="25" width="13.5546875" style="6" bestFit="1" customWidth="1"/>
    <col min="26" max="26" width="13.5546875" style="5" bestFit="1" customWidth="1"/>
    <col min="27" max="29" width="13.5546875" style="6" bestFit="1" customWidth="1"/>
  </cols>
  <sheetData>
    <row r="1" spans="1:29" ht="19.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4" t="s">
        <v>21</v>
      </c>
      <c r="W1" s="2" t="s">
        <v>22</v>
      </c>
      <c r="X1" s="1" t="s">
        <v>23</v>
      </c>
      <c r="Y1" s="2" t="s">
        <v>24</v>
      </c>
      <c r="Z1" s="1" t="s">
        <v>25</v>
      </c>
      <c r="AA1" s="2" t="s">
        <v>26</v>
      </c>
      <c r="AB1" s="2" t="s">
        <v>27</v>
      </c>
      <c r="AC1" s="2" t="s">
        <v>28</v>
      </c>
    </row>
    <row r="2" spans="1:29" ht="19.5" customHeight="1" x14ac:dyDescent="0.3">
      <c r="A2" s="1" t="s">
        <v>29</v>
      </c>
      <c r="B2" s="1" t="s">
        <v>29</v>
      </c>
      <c r="C2" s="1"/>
      <c r="D2" s="1" t="s">
        <v>30</v>
      </c>
      <c r="E2" s="2">
        <v>0</v>
      </c>
      <c r="F2" s="2"/>
      <c r="G2" s="1" t="s">
        <v>31</v>
      </c>
      <c r="H2" s="2">
        <v>0</v>
      </c>
      <c r="I2" s="1" t="s">
        <v>32</v>
      </c>
      <c r="J2" s="2">
        <v>0</v>
      </c>
      <c r="K2" s="2">
        <v>1</v>
      </c>
      <c r="L2" s="2">
        <v>0</v>
      </c>
      <c r="M2" s="1" t="s">
        <v>33</v>
      </c>
      <c r="N2" s="1" t="s">
        <v>33</v>
      </c>
      <c r="O2" s="1" t="s">
        <v>33</v>
      </c>
      <c r="P2" s="2">
        <v>0</v>
      </c>
      <c r="Q2" s="2">
        <v>0</v>
      </c>
      <c r="R2" s="2">
        <v>1</v>
      </c>
      <c r="S2" s="2">
        <v>0</v>
      </c>
      <c r="T2" s="2">
        <v>0</v>
      </c>
      <c r="U2" s="2">
        <v>0</v>
      </c>
      <c r="V2" s="4">
        <v>222.49</v>
      </c>
      <c r="W2" s="2">
        <v>0</v>
      </c>
      <c r="X2" s="1" t="s">
        <v>31</v>
      </c>
      <c r="Y2" s="2">
        <v>0</v>
      </c>
      <c r="Z2" s="1" t="s">
        <v>32</v>
      </c>
      <c r="AA2" s="2">
        <v>0</v>
      </c>
      <c r="AB2" s="2">
        <v>10</v>
      </c>
      <c r="AC2" s="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8</vt:i4>
      </vt:variant>
    </vt:vector>
  </HeadingPairs>
  <TitlesOfParts>
    <vt:vector size="8" baseType="lpstr">
      <vt:lpstr>Carrier</vt:lpstr>
      <vt:lpstr>Bus</vt:lpstr>
      <vt:lpstr>Load</vt:lpstr>
      <vt:lpstr>Line</vt:lpstr>
      <vt:lpstr>Generator</vt:lpstr>
      <vt:lpstr>Link</vt:lpstr>
      <vt:lpstr>StorageUnit</vt:lpstr>
      <vt:lpstr>Store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</cp:lastModifiedBy>
  <dcterms:created xsi:type="dcterms:W3CDTF">2025-11-05T17:54:00Z</dcterms:created>
  <dcterms:modified xsi:type="dcterms:W3CDTF">2025-11-20T14:57:58Z</dcterms:modified>
</cp:coreProperties>
</file>