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firstSheet="1" activeTab="5"/>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stores_t_e_max_pu" sheetId="17" r:id="rId9"/>
    <sheet name="loads_t_p_set" sheetId="9" r:id="rId10"/>
    <sheet name="snapshots" sheetId="11" r:id="rId11"/>
  </sheets>
  <definedNames>
    <definedName name="_xlnm._FilterDatabase" localSheetId="4" hidden="1">Link!$A$1:$BB$49</definedName>
    <definedName name="_xlnm._FilterDatabase" localSheetId="7" hidden="1">Store!$A$1:$AD$1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 r="N4" i="5"/>
</calcChain>
</file>

<file path=xl/sharedStrings.xml><?xml version="1.0" encoding="utf-8"?>
<sst xmlns="http://schemas.openxmlformats.org/spreadsheetml/2006/main" count="1122" uniqueCount="273">
  <si>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</si>
  <si>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</si>
  <si>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</si>
  <si>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</si>
  <si>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</si>
  <si>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</si>
  <si>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</si>
  <si>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</si>
  <si>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</si>
  <si>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</si>
  <si>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</si>
  <si>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</si>
  <si>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</si>
  <si>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</si>
  <si>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</si>
  <si>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</si>
  <si>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</si>
  <si>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</si>
  <si>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</si>
  <si>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</si>
  <si>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</si>
  <si>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</si>
  <si>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</si>
  <si>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</si>
  <si>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</si>
  <si>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</si>
  <si>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</si>
  <si>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</si>
  <si>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</si>
  <si>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</si>
  <si>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</si>
  <si>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</si>
  <si>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</si>
  <si>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</si>
  <si>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</si>
  <si>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</si>
  <si>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</si>
  <si>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</si>
  <si>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</si>
  <si>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</si>
  <si>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</si>
  <si>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</si>
  <si>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</si>
  <si>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</si>
  <si>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</si>
  <si>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</si>
  <si>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</si>
  <si>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</si>
  <si>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</si>
  <si>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</si>
  <si>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</si>
  <si>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</si>
  <si>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</si>
  <si>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</si>
  <si>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</si>
  <si>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</si>
  <si>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</si>
  <si>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</si>
  <si>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</si>
  <si>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</si>
  <si>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</si>
  <si>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</si>
  <si>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</si>
  <si>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</si>
  <si>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</si>
  <si>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</si>
  <si>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</si>
  <si>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</si>
  <si>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</si>
  <si>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</si>
  <si>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</si>
  <si>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</si>
  <si>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</si>
  <si>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</si>
  <si>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</si>
  <si>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</si>
  <si>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</si>
  <si>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</si>
  <si>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</si>
  <si>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</si>
  <si>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</si>
  <si>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</si>
  <si>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</si>
  <si>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</si>
  <si>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</si>
  <si>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</si>
  <si>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</si>
  <si>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</si>
  <si>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</si>
  <si>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</si>
  <si>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</si>
  <si>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</si>
  <si>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</si>
  <si>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</si>
  <si>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</si>
  <si>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</si>
  <si>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</si>
  <si>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</si>
  <si>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</si>
  <si>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</si>
  <si>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</si>
  <si>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</si>
  <si>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</si>
  <si>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</si>
  <si>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</si>
  <si>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</si>
  <si>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</si>
  <si>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</si>
  <si>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</si>
  <si>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</si>
  <si>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</si>
  <si>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</si>
  <si>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</si>
  <si>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</si>
  <si>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</si>
  <si>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</si>
  <si>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</si>
  <si>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</si>
  <si>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</si>
  <si>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</si>
  <si>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</si>
  <si>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</si>
  <si>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</si>
  <si>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</si>
  <si>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</si>
  <si>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</si>
  <si>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</si>
  <si>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</si>
  <si>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</si>
  <si>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</si>
  <si>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</si>
  <si>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</si>
  <si>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</si>
  <si>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</si>
  <si>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</si>
  <si>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</si>
  <si>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</si>
  <si>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</si>
  <si>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</si>
  <si>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</si>
  <si>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</si>
  <si>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</si>
  <si>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</si>
  <si>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</si>
  <si>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</si>
  <si>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</si>
  <si>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</si>
  <si>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</si>
  <si>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EU gas</t>
  </si>
  <si>
    <t>IT1 0 OCGT</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</si>
  <si>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</si>
  <si>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</si>
  <si>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</si>
  <si>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</si>
  <si>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</si>
  <si>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</si>
  <si>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</si>
  <si>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</si>
  <si>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</si>
  <si>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</si>
  <si>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</si>
  <si>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</si>
  <si>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</si>
  <si>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</si>
  <si>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</si>
  <si>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</si>
  <si>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</si>
  <si>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</si>
  <si>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</si>
  <si>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</si>
  <si>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</si>
  <si>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</si>
  <si>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</si>
  <si>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</si>
  <si>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</si>
  <si>
    <t>IT0 0 co2 stored</t>
  </si>
  <si>
    <t>IT1 0 co2 stored</t>
  </si>
  <si>
    <t>IT0 0 co2 sequestered</t>
  </si>
  <si>
    <t>IT1 0 co2 sequestered</t>
  </si>
  <si>
    <t>IT0 0 H2</t>
  </si>
  <si>
    <t>IT1 0 H2</t>
  </si>
  <si>
    <t>IT0 0 urban central heat</t>
  </si>
  <si>
    <t>urban central heat</t>
  </si>
  <si>
    <t>MWh_th</t>
  </si>
  <si>
    <t>IT1 0 urban central heat</t>
  </si>
  <si>
    <t>IT0 0 urban central water pits</t>
  </si>
  <si>
    <t>IT1 0 urban central water pits</t>
  </si>
  <si>
    <t>EU biogas</t>
  </si>
  <si>
    <t>biogas</t>
  </si>
  <si>
    <t>EU oil</t>
  </si>
  <si>
    <t>oil</t>
  </si>
  <si>
    <t>EU oil primary</t>
  </si>
  <si>
    <t>oil primary</t>
  </si>
  <si>
    <t>EU methanol</t>
  </si>
  <si>
    <t>gas for industry</t>
  </si>
  <si>
    <t>EU industry methanol</t>
  </si>
  <si>
    <t>industry methanol</t>
  </si>
  <si>
    <t>IT0 0 non-sequestered HVC</t>
  </si>
  <si>
    <t>non-sequestered HVC</t>
  </si>
  <si>
    <t>IT1 0 non-sequestered HVC</t>
  </si>
  <si>
    <t>IT0 0 process emissions</t>
  </si>
  <si>
    <t>process emissions</t>
  </si>
  <si>
    <t>IT1 0 process emissions</t>
  </si>
  <si>
    <t>EU shipping methanol</t>
  </si>
  <si>
    <t>shipping methanol</t>
  </si>
  <si>
    <t>IT0 0 H2 for industry</t>
  </si>
  <si>
    <t>H2 for industry</t>
  </si>
  <si>
    <t>IT1 0 H2 for industry</t>
  </si>
  <si>
    <t>IT0 0 low-temperature heat for industry</t>
  </si>
  <si>
    <t>low-temperature heat for industry</t>
  </si>
  <si>
    <t>IT1 0 low-temperature heat for industry</t>
  </si>
  <si>
    <t>bus4</t>
  </si>
  <si>
    <t>efficiency4</t>
  </si>
  <si>
    <t>energy to power ratio</t>
  </si>
  <si>
    <t>IT0 0 OCGT</t>
  </si>
  <si>
    <t>IT1 0 CCGT</t>
  </si>
  <si>
    <t>IT0 0 H2 Electrolysis</t>
  </si>
  <si>
    <t>IT1 0 H2 Electrolysis</t>
  </si>
  <si>
    <t>IT0 0 H2 Fuel Cell</t>
  </si>
  <si>
    <t>H2 Fuel Cell</t>
  </si>
  <si>
    <t>IT1 0 H2 Fuel Cell</t>
  </si>
  <si>
    <t>IT0 0 H2 turbine</t>
  </si>
  <si>
    <t>H2 turbine</t>
  </si>
  <si>
    <t>IT1 0 H2 turbine</t>
  </si>
  <si>
    <t>IT0 0 Sabatier</t>
  </si>
  <si>
    <t>IT1 0 Sabatier</t>
  </si>
  <si>
    <t>IT0 0 SMR CC</t>
  </si>
  <si>
    <t>SMR CC</t>
  </si>
  <si>
    <t>IT1 0 SMR CC</t>
  </si>
  <si>
    <t>IT0 0 SMR</t>
  </si>
  <si>
    <t>SMR</t>
  </si>
  <si>
    <t>IT1 0 SMR</t>
  </si>
  <si>
    <t>IT0 0 urban central gas boiler</t>
  </si>
  <si>
    <t>urban central gas boiler</t>
  </si>
  <si>
    <t>IT1 0 urban central gas boiler</t>
  </si>
  <si>
    <t>IT0 0 urban central gas CHP</t>
  </si>
  <si>
    <t>urban central gas CHP</t>
  </si>
  <si>
    <t>IT1 0 urban central gas CHP</t>
  </si>
  <si>
    <t>IT0 0 urban central gas CHP CC</t>
  </si>
  <si>
    <t>urban central gas CHP CC</t>
  </si>
  <si>
    <t>IT1 0 urban central gas CHP CC</t>
  </si>
  <si>
    <t>EU biogas to gas</t>
  </si>
  <si>
    <t>biogas to gas</t>
  </si>
  <si>
    <t>EU oil refining</t>
  </si>
  <si>
    <t>oil refining</t>
  </si>
  <si>
    <t>IT0 0 OCGT methanol</t>
  </si>
  <si>
    <t>OCGT methanol</t>
  </si>
  <si>
    <t>IT1 0 OCGT methanol</t>
  </si>
  <si>
    <t>IT0 0 gas for industry CC</t>
  </si>
  <si>
    <t>gas for industry CC</t>
  </si>
  <si>
    <t>IT1 0 gas for industry CC</t>
  </si>
  <si>
    <t>IT0 0 methanolisation</t>
  </si>
  <si>
    <t>methanolisation</t>
  </si>
  <si>
    <t>IT1 0 methanolisation</t>
  </si>
  <si>
    <t>IT0 0 Fischer-Tropsch</t>
  </si>
  <si>
    <t>Fischer-Tropsch</t>
  </si>
  <si>
    <t>IT1 0 Fischer-Tropsch</t>
  </si>
  <si>
    <t>IT0 0 HVC to air</t>
  </si>
  <si>
    <t>HVC to air</t>
  </si>
  <si>
    <t>IT1 0 HVC to air</t>
  </si>
  <si>
    <t>IT0 0 process emissions CC</t>
  </si>
  <si>
    <t>process emissions CC</t>
  </si>
  <si>
    <t>IT1 0 process emissions CC</t>
  </si>
  <si>
    <t>IT0 0 urban central DAC</t>
  </si>
  <si>
    <t>DAC</t>
  </si>
  <si>
    <t>IT1 0 urban central DAC</t>
  </si>
  <si>
    <t>CO2 pipeline IT0 0 -&gt; IT1 0</t>
  </si>
  <si>
    <t>relation/8185711-500-DC-reversed</t>
  </si>
  <si>
    <t>EU gas Store</t>
  </si>
  <si>
    <t>IT0 0 H2 Store</t>
  </si>
  <si>
    <t>IT1 0 H2 Store</t>
  </si>
  <si>
    <t>EU oil Store</t>
  </si>
  <si>
    <t>EU methanol Store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</si>
</sst>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150</v>
      </c>
      <c r="B26">
        <v>0</v>
      </c>
      <c r="C26" t="s">
        <v>35</v>
      </c>
      <c r="D26" t="s">
        <v>150</v>
      </c>
      <c r="E26" t="s">
        <v>7</v>
      </c>
      <c r="F26">
        <v>0</v>
      </c>
    </row>
    <row r="27" spans="1:6" x14ac:dyDescent="0.3">
      <c r="A27" t="s">
        <v>141</v>
      </c>
      <c r="B27">
        <v>0</v>
      </c>
      <c r="C27" t="s">
        <v>152</v>
      </c>
      <c r="D27" t="s">
        <v>141</v>
      </c>
      <c r="E27" t="s">
        <v>7</v>
      </c>
      <c r="F27">
        <v>0</v>
      </c>
    </row>
    <row r="28" spans="1:6" x14ac:dyDescent="0.3">
      <c r="A28" t="s">
        <v>100</v>
      </c>
      <c r="B28">
        <v>0</v>
      </c>
      <c r="C28" t="s">
        <v>153</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election activeCell="A16" sqref="A16:XFD17"/>
    </sheetView>
  </sheetViews>
  <sheetFormatPr defaultRowHeight="14.4" x14ac:dyDescent="0.3"/>
  <cols>
    <col min="1" max="1" width="28.6640625"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138</v>
      </c>
      <c r="B4">
        <v>1</v>
      </c>
      <c r="D4">
        <v>-5.5</v>
      </c>
      <c r="E4">
        <v>46</v>
      </c>
      <c r="F4" t="s">
        <v>117</v>
      </c>
      <c r="H4" t="s">
        <v>138</v>
      </c>
      <c r="I4">
        <v>1</v>
      </c>
      <c r="J4">
        <v>0</v>
      </c>
      <c r="K4" t="s">
        <v>7</v>
      </c>
      <c r="L4" t="s">
        <v>62</v>
      </c>
    </row>
    <row r="5" spans="1:17" x14ac:dyDescent="0.3">
      <c r="A5" t="s">
        <v>139</v>
      </c>
      <c r="B5">
        <v>1</v>
      </c>
      <c r="D5">
        <v>-5.5</v>
      </c>
      <c r="E5">
        <v>46</v>
      </c>
      <c r="F5" t="s">
        <v>118</v>
      </c>
      <c r="G5" t="s">
        <v>140</v>
      </c>
      <c r="H5" t="s">
        <v>138</v>
      </c>
      <c r="I5">
        <v>1</v>
      </c>
      <c r="J5">
        <v>0</v>
      </c>
      <c r="K5" t="s">
        <v>7</v>
      </c>
      <c r="L5" t="s">
        <v>62</v>
      </c>
    </row>
    <row r="6" spans="1:17" x14ac:dyDescent="0.3">
      <c r="A6" t="s">
        <v>175</v>
      </c>
      <c r="B6">
        <v>1</v>
      </c>
      <c r="D6">
        <v>11.861807419676801</v>
      </c>
      <c r="E6">
        <v>43.502700216278299</v>
      </c>
      <c r="F6" t="s">
        <v>120</v>
      </c>
      <c r="G6" t="s">
        <v>140</v>
      </c>
      <c r="H6" t="s">
        <v>58</v>
      </c>
      <c r="I6">
        <v>1</v>
      </c>
      <c r="J6">
        <v>0</v>
      </c>
      <c r="K6" t="s">
        <v>7</v>
      </c>
      <c r="L6" t="s">
        <v>62</v>
      </c>
      <c r="O6" t="s">
        <v>60</v>
      </c>
    </row>
    <row r="7" spans="1:17" x14ac:dyDescent="0.3">
      <c r="A7" t="s">
        <v>176</v>
      </c>
      <c r="B7">
        <v>1</v>
      </c>
      <c r="D7">
        <v>8.7398246778425897</v>
      </c>
      <c r="E7">
        <v>40.032889929774797</v>
      </c>
      <c r="F7" t="s">
        <v>120</v>
      </c>
      <c r="G7" t="s">
        <v>140</v>
      </c>
      <c r="H7" t="s">
        <v>61</v>
      </c>
      <c r="I7">
        <v>1</v>
      </c>
      <c r="J7">
        <v>0</v>
      </c>
      <c r="K7" t="s">
        <v>7</v>
      </c>
      <c r="L7" t="s">
        <v>62</v>
      </c>
      <c r="O7" t="s">
        <v>60</v>
      </c>
    </row>
    <row r="8" spans="1:17" x14ac:dyDescent="0.3">
      <c r="A8" t="s">
        <v>177</v>
      </c>
      <c r="B8">
        <v>1</v>
      </c>
      <c r="D8">
        <v>11.861807419676801</v>
      </c>
      <c r="E8">
        <v>43.502700216278299</v>
      </c>
      <c r="F8" t="s">
        <v>122</v>
      </c>
      <c r="G8" t="s">
        <v>140</v>
      </c>
      <c r="H8" t="s">
        <v>58</v>
      </c>
      <c r="I8">
        <v>1</v>
      </c>
      <c r="J8">
        <v>0</v>
      </c>
      <c r="K8" t="s">
        <v>7</v>
      </c>
      <c r="L8" t="s">
        <v>62</v>
      </c>
      <c r="O8" t="s">
        <v>60</v>
      </c>
    </row>
    <row r="9" spans="1:17" x14ac:dyDescent="0.3">
      <c r="A9" t="s">
        <v>178</v>
      </c>
      <c r="B9">
        <v>1</v>
      </c>
      <c r="D9">
        <v>8.7398246778425897</v>
      </c>
      <c r="E9">
        <v>40.032889929774797</v>
      </c>
      <c r="F9" t="s">
        <v>122</v>
      </c>
      <c r="G9" t="s">
        <v>140</v>
      </c>
      <c r="H9" t="s">
        <v>61</v>
      </c>
      <c r="I9">
        <v>1</v>
      </c>
      <c r="J9">
        <v>0</v>
      </c>
      <c r="K9" t="s">
        <v>7</v>
      </c>
      <c r="L9" t="s">
        <v>62</v>
      </c>
      <c r="O9" t="s">
        <v>60</v>
      </c>
    </row>
    <row r="10" spans="1:17" x14ac:dyDescent="0.3">
      <c r="A10" t="s">
        <v>148</v>
      </c>
      <c r="B10">
        <v>1</v>
      </c>
      <c r="D10">
        <v>-5.5</v>
      </c>
      <c r="E10">
        <v>46</v>
      </c>
      <c r="F10" t="s">
        <v>124</v>
      </c>
      <c r="G10" t="s">
        <v>151</v>
      </c>
      <c r="H10" t="s">
        <v>138</v>
      </c>
      <c r="I10">
        <v>1</v>
      </c>
      <c r="J10">
        <v>0</v>
      </c>
      <c r="K10" t="s">
        <v>7</v>
      </c>
      <c r="L10" t="s">
        <v>62</v>
      </c>
    </row>
    <row r="11" spans="1:17" x14ac:dyDescent="0.3">
      <c r="A11" t="s">
        <v>179</v>
      </c>
      <c r="B11">
        <v>1</v>
      </c>
      <c r="D11">
        <v>11.861807419676801</v>
      </c>
      <c r="E11">
        <v>43.502700216278299</v>
      </c>
      <c r="F11" t="s">
        <v>34</v>
      </c>
      <c r="G11" t="s">
        <v>151</v>
      </c>
      <c r="H11" t="s">
        <v>58</v>
      </c>
      <c r="I11">
        <v>1</v>
      </c>
      <c r="J11">
        <v>0</v>
      </c>
      <c r="K11" t="s">
        <v>7</v>
      </c>
      <c r="L11" t="s">
        <v>62</v>
      </c>
      <c r="O11" t="s">
        <v>60</v>
      </c>
    </row>
    <row r="12" spans="1:17" x14ac:dyDescent="0.3">
      <c r="A12" t="s">
        <v>180</v>
      </c>
      <c r="B12">
        <v>1</v>
      </c>
      <c r="D12">
        <v>8.7398246778425897</v>
      </c>
      <c r="E12">
        <v>40.032889929774797</v>
      </c>
      <c r="F12" t="s">
        <v>34</v>
      </c>
      <c r="G12" t="s">
        <v>151</v>
      </c>
      <c r="H12" t="s">
        <v>61</v>
      </c>
      <c r="I12">
        <v>1</v>
      </c>
      <c r="J12">
        <v>0</v>
      </c>
      <c r="K12" t="s">
        <v>7</v>
      </c>
      <c r="L12" t="s">
        <v>62</v>
      </c>
      <c r="O12" t="s">
        <v>60</v>
      </c>
    </row>
    <row r="13" spans="1:17" x14ac:dyDescent="0.3">
      <c r="A13" t="s">
        <v>181</v>
      </c>
      <c r="B13">
        <v>1</v>
      </c>
      <c r="D13">
        <v>11.861807419676801</v>
      </c>
      <c r="E13">
        <v>43.502700216278299</v>
      </c>
      <c r="F13" t="s">
        <v>182</v>
      </c>
      <c r="G13" t="s">
        <v>183</v>
      </c>
      <c r="H13" t="s">
        <v>58</v>
      </c>
      <c r="I13">
        <v>1</v>
      </c>
      <c r="J13">
        <v>0</v>
      </c>
      <c r="K13" t="s">
        <v>7</v>
      </c>
      <c r="L13" t="s">
        <v>62</v>
      </c>
      <c r="O13" t="s">
        <v>60</v>
      </c>
    </row>
    <row r="14" spans="1:17" x14ac:dyDescent="0.3">
      <c r="A14" t="s">
        <v>184</v>
      </c>
      <c r="B14">
        <v>1</v>
      </c>
      <c r="D14">
        <v>8.7398246778425897</v>
      </c>
      <c r="E14">
        <v>40.032889929774797</v>
      </c>
      <c r="F14" t="s">
        <v>182</v>
      </c>
      <c r="G14" t="s">
        <v>183</v>
      </c>
      <c r="H14" t="s">
        <v>61</v>
      </c>
      <c r="I14">
        <v>1</v>
      </c>
      <c r="J14">
        <v>0</v>
      </c>
      <c r="K14" t="s">
        <v>7</v>
      </c>
      <c r="L14" t="s">
        <v>62</v>
      </c>
      <c r="O14" t="s">
        <v>60</v>
      </c>
    </row>
    <row r="15" spans="1:17" x14ac:dyDescent="0.3">
      <c r="A15" t="s">
        <v>187</v>
      </c>
      <c r="B15">
        <v>1</v>
      </c>
      <c r="D15">
        <v>-5.5</v>
      </c>
      <c r="E15">
        <v>46</v>
      </c>
      <c r="F15" t="s">
        <v>188</v>
      </c>
      <c r="G15" t="s">
        <v>151</v>
      </c>
      <c r="H15" t="s">
        <v>138</v>
      </c>
      <c r="I15">
        <v>1</v>
      </c>
      <c r="J15">
        <v>0</v>
      </c>
      <c r="K15" t="s">
        <v>7</v>
      </c>
      <c r="L15" t="s">
        <v>62</v>
      </c>
    </row>
    <row r="16" spans="1:17" x14ac:dyDescent="0.3">
      <c r="A16" t="s">
        <v>189</v>
      </c>
      <c r="B16">
        <v>1</v>
      </c>
      <c r="D16">
        <v>-5.5</v>
      </c>
      <c r="E16">
        <v>46</v>
      </c>
      <c r="F16" t="s">
        <v>190</v>
      </c>
      <c r="G16" t="s">
        <v>183</v>
      </c>
      <c r="H16" t="s">
        <v>138</v>
      </c>
      <c r="I16">
        <v>1</v>
      </c>
      <c r="J16">
        <v>0</v>
      </c>
      <c r="K16" t="s">
        <v>7</v>
      </c>
      <c r="L16" t="s">
        <v>62</v>
      </c>
    </row>
    <row r="17" spans="1:15" x14ac:dyDescent="0.3">
      <c r="A17" t="s">
        <v>191</v>
      </c>
      <c r="B17">
        <v>1</v>
      </c>
      <c r="D17">
        <v>-5.5</v>
      </c>
      <c r="E17">
        <v>46</v>
      </c>
      <c r="F17" t="s">
        <v>192</v>
      </c>
      <c r="G17" t="s">
        <v>183</v>
      </c>
      <c r="H17" t="s">
        <v>138</v>
      </c>
      <c r="I17">
        <v>1</v>
      </c>
      <c r="J17">
        <v>0</v>
      </c>
      <c r="K17" t="s">
        <v>7</v>
      </c>
      <c r="L17" t="s">
        <v>62</v>
      </c>
    </row>
    <row r="18" spans="1:15" x14ac:dyDescent="0.3">
      <c r="A18" t="s">
        <v>193</v>
      </c>
      <c r="B18">
        <v>1</v>
      </c>
      <c r="D18">
        <v>-5.5</v>
      </c>
      <c r="E18">
        <v>46</v>
      </c>
      <c r="F18" t="s">
        <v>126</v>
      </c>
      <c r="G18" t="s">
        <v>183</v>
      </c>
      <c r="H18" t="s">
        <v>138</v>
      </c>
      <c r="I18">
        <v>1</v>
      </c>
      <c r="J18">
        <v>0</v>
      </c>
      <c r="K18" t="s">
        <v>7</v>
      </c>
      <c r="L18" t="s">
        <v>62</v>
      </c>
    </row>
    <row r="19" spans="1:15" x14ac:dyDescent="0.3">
      <c r="A19" t="s">
        <v>194</v>
      </c>
      <c r="B19">
        <v>1</v>
      </c>
      <c r="D19">
        <v>-5.5</v>
      </c>
      <c r="E19">
        <v>46</v>
      </c>
      <c r="F19" t="s">
        <v>194</v>
      </c>
      <c r="G19" t="s">
        <v>151</v>
      </c>
      <c r="H19" t="s">
        <v>138</v>
      </c>
      <c r="I19">
        <v>1</v>
      </c>
      <c r="J19">
        <v>0</v>
      </c>
      <c r="K19" t="s">
        <v>7</v>
      </c>
      <c r="L19" t="s">
        <v>62</v>
      </c>
    </row>
    <row r="20" spans="1:15" x14ac:dyDescent="0.3">
      <c r="A20" t="s">
        <v>195</v>
      </c>
      <c r="B20">
        <v>1</v>
      </c>
      <c r="D20">
        <v>-5.5</v>
      </c>
      <c r="E20">
        <v>46</v>
      </c>
      <c r="F20" t="s">
        <v>196</v>
      </c>
      <c r="G20" t="s">
        <v>151</v>
      </c>
      <c r="H20" t="s">
        <v>138</v>
      </c>
      <c r="I20">
        <v>1</v>
      </c>
      <c r="J20">
        <v>0</v>
      </c>
      <c r="K20" t="s">
        <v>7</v>
      </c>
      <c r="L20" t="s">
        <v>62</v>
      </c>
    </row>
    <row r="21" spans="1:15" x14ac:dyDescent="0.3">
      <c r="A21" t="s">
        <v>197</v>
      </c>
      <c r="B21">
        <v>1</v>
      </c>
      <c r="D21">
        <v>11.861807419676801</v>
      </c>
      <c r="E21">
        <v>43.502700216278299</v>
      </c>
      <c r="F21" t="s">
        <v>198</v>
      </c>
      <c r="G21" t="s">
        <v>151</v>
      </c>
      <c r="H21" t="s">
        <v>58</v>
      </c>
      <c r="I21">
        <v>1</v>
      </c>
      <c r="J21">
        <v>0</v>
      </c>
      <c r="K21" t="s">
        <v>7</v>
      </c>
      <c r="L21" t="s">
        <v>62</v>
      </c>
      <c r="O21" t="s">
        <v>60</v>
      </c>
    </row>
    <row r="22" spans="1:15" x14ac:dyDescent="0.3">
      <c r="A22" t="s">
        <v>199</v>
      </c>
      <c r="B22">
        <v>1</v>
      </c>
      <c r="D22">
        <v>8.7398246778425897</v>
      </c>
      <c r="E22">
        <v>40.032889929774797</v>
      </c>
      <c r="F22" t="s">
        <v>198</v>
      </c>
      <c r="G22" t="s">
        <v>151</v>
      </c>
      <c r="H22" t="s">
        <v>61</v>
      </c>
      <c r="I22">
        <v>1</v>
      </c>
      <c r="J22">
        <v>0</v>
      </c>
      <c r="K22" t="s">
        <v>7</v>
      </c>
      <c r="L22" t="s">
        <v>62</v>
      </c>
      <c r="O22" t="s">
        <v>60</v>
      </c>
    </row>
    <row r="23" spans="1:15" x14ac:dyDescent="0.3">
      <c r="A23" t="s">
        <v>200</v>
      </c>
      <c r="B23">
        <v>1</v>
      </c>
      <c r="D23">
        <v>11.861807419676801</v>
      </c>
      <c r="E23">
        <v>43.502700216278299</v>
      </c>
      <c r="F23" t="s">
        <v>201</v>
      </c>
      <c r="G23" t="s">
        <v>140</v>
      </c>
      <c r="H23" t="s">
        <v>58</v>
      </c>
      <c r="I23">
        <v>1</v>
      </c>
      <c r="J23">
        <v>0</v>
      </c>
      <c r="K23" t="s">
        <v>7</v>
      </c>
      <c r="L23" t="s">
        <v>62</v>
      </c>
      <c r="O23" t="s">
        <v>60</v>
      </c>
    </row>
    <row r="24" spans="1:15" x14ac:dyDescent="0.3">
      <c r="A24" t="s">
        <v>202</v>
      </c>
      <c r="B24">
        <v>1</v>
      </c>
      <c r="D24">
        <v>8.7398246778425897</v>
      </c>
      <c r="E24">
        <v>40.032889929774797</v>
      </c>
      <c r="F24" t="s">
        <v>201</v>
      </c>
      <c r="G24" t="s">
        <v>140</v>
      </c>
      <c r="H24" t="s">
        <v>61</v>
      </c>
      <c r="I24">
        <v>1</v>
      </c>
      <c r="J24">
        <v>0</v>
      </c>
      <c r="K24" t="s">
        <v>7</v>
      </c>
      <c r="L24" t="s">
        <v>62</v>
      </c>
      <c r="O24" t="s">
        <v>60</v>
      </c>
    </row>
    <row r="25" spans="1:15" x14ac:dyDescent="0.3">
      <c r="A25" t="s">
        <v>203</v>
      </c>
      <c r="B25">
        <v>1</v>
      </c>
      <c r="D25">
        <v>-5.5</v>
      </c>
      <c r="E25">
        <v>46</v>
      </c>
      <c r="F25" t="s">
        <v>204</v>
      </c>
      <c r="G25" t="s">
        <v>151</v>
      </c>
      <c r="H25" t="s">
        <v>138</v>
      </c>
      <c r="I25">
        <v>1</v>
      </c>
      <c r="J25">
        <v>0</v>
      </c>
      <c r="K25" t="s">
        <v>7</v>
      </c>
      <c r="L25"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A17" sqref="A17"/>
    </sheetView>
  </sheetViews>
  <sheetFormatPr defaultRowHeight="14.4" x14ac:dyDescent="0.3"/>
  <cols>
    <col min="1" max="1" width="33.88671875" bestFit="1" customWidth="1"/>
    <col min="2" max="2" width="26.5546875" bestFit="1" customWidth="1"/>
  </cols>
  <sheetData>
    <row r="1" spans="1:8" x14ac:dyDescent="0.3">
      <c r="A1" t="s">
        <v>116</v>
      </c>
      <c r="B1" t="s">
        <v>63</v>
      </c>
      <c r="C1" t="s">
        <v>46</v>
      </c>
      <c r="D1" t="s">
        <v>43</v>
      </c>
      <c r="E1" t="s">
        <v>64</v>
      </c>
      <c r="F1" t="s">
        <v>65</v>
      </c>
      <c r="G1" t="s">
        <v>66</v>
      </c>
      <c r="H1" t="s">
        <v>67</v>
      </c>
    </row>
    <row r="2" spans="1:8" x14ac:dyDescent="0.3">
      <c r="A2" t="s">
        <v>181</v>
      </c>
      <c r="B2" t="s">
        <v>181</v>
      </c>
      <c r="C2" t="s">
        <v>182</v>
      </c>
      <c r="E2">
        <v>0</v>
      </c>
      <c r="F2">
        <v>0</v>
      </c>
      <c r="G2">
        <v>-1</v>
      </c>
      <c r="H2" t="s">
        <v>68</v>
      </c>
    </row>
    <row r="3" spans="1:8" x14ac:dyDescent="0.3">
      <c r="A3" t="s">
        <v>184</v>
      </c>
      <c r="B3" t="s">
        <v>184</v>
      </c>
      <c r="C3" t="s">
        <v>182</v>
      </c>
      <c r="E3">
        <v>0</v>
      </c>
      <c r="F3">
        <v>0</v>
      </c>
      <c r="G3">
        <v>-1</v>
      </c>
      <c r="H3" t="s">
        <v>68</v>
      </c>
    </row>
    <row r="4" spans="1:8" x14ac:dyDescent="0.3">
      <c r="A4" t="s">
        <v>194</v>
      </c>
      <c r="B4" t="s">
        <v>194</v>
      </c>
      <c r="C4" t="s">
        <v>194</v>
      </c>
      <c r="E4">
        <v>2162.1004566209999</v>
      </c>
      <c r="F4">
        <v>0</v>
      </c>
      <c r="G4">
        <v>-1</v>
      </c>
      <c r="H4" t="s">
        <v>68</v>
      </c>
    </row>
    <row r="5" spans="1:8" x14ac:dyDescent="0.3">
      <c r="A5" t="s">
        <v>205</v>
      </c>
      <c r="B5" t="s">
        <v>179</v>
      </c>
      <c r="C5" t="s">
        <v>206</v>
      </c>
      <c r="E5">
        <v>1315.0684931506801</v>
      </c>
      <c r="F5">
        <v>0</v>
      </c>
      <c r="G5">
        <v>-1</v>
      </c>
      <c r="H5" t="s">
        <v>68</v>
      </c>
    </row>
    <row r="6" spans="1:8" x14ac:dyDescent="0.3">
      <c r="A6" t="s">
        <v>207</v>
      </c>
      <c r="B6" t="s">
        <v>180</v>
      </c>
      <c r="C6" t="s">
        <v>206</v>
      </c>
      <c r="E6">
        <v>-3.4246575342465699</v>
      </c>
      <c r="F6">
        <v>0</v>
      </c>
      <c r="G6">
        <v>-1</v>
      </c>
      <c r="H6" t="s">
        <v>68</v>
      </c>
    </row>
    <row r="7" spans="1:8" x14ac:dyDescent="0.3">
      <c r="A7" t="s">
        <v>195</v>
      </c>
      <c r="B7" t="s">
        <v>195</v>
      </c>
      <c r="C7" t="s">
        <v>196</v>
      </c>
      <c r="E7">
        <v>59.3607305936073</v>
      </c>
      <c r="F7">
        <v>0</v>
      </c>
      <c r="G7">
        <v>-1</v>
      </c>
      <c r="H7" t="s">
        <v>68</v>
      </c>
    </row>
    <row r="8" spans="1:8" x14ac:dyDescent="0.3">
      <c r="A8" t="s">
        <v>208</v>
      </c>
      <c r="B8" t="s">
        <v>181</v>
      </c>
      <c r="C8" t="s">
        <v>209</v>
      </c>
      <c r="E8">
        <v>785.38812785388097</v>
      </c>
      <c r="F8">
        <v>0</v>
      </c>
      <c r="G8">
        <v>-1</v>
      </c>
      <c r="H8" t="s">
        <v>68</v>
      </c>
    </row>
    <row r="9" spans="1:8" x14ac:dyDescent="0.3">
      <c r="A9" t="s">
        <v>210</v>
      </c>
      <c r="B9" t="s">
        <v>184</v>
      </c>
      <c r="C9" t="s">
        <v>209</v>
      </c>
      <c r="E9">
        <v>21.689497716894898</v>
      </c>
      <c r="F9">
        <v>0</v>
      </c>
      <c r="G9">
        <v>-1</v>
      </c>
      <c r="H9" t="s">
        <v>68</v>
      </c>
    </row>
    <row r="10" spans="1:8" x14ac:dyDescent="0.3">
      <c r="A10" t="s">
        <v>200</v>
      </c>
      <c r="B10" t="s">
        <v>200</v>
      </c>
      <c r="C10" t="s">
        <v>201</v>
      </c>
      <c r="E10">
        <v>-1501.1415525114101</v>
      </c>
      <c r="F10">
        <v>0</v>
      </c>
      <c r="G10">
        <v>-1</v>
      </c>
      <c r="H10" t="s">
        <v>68</v>
      </c>
    </row>
    <row r="11" spans="1:8" x14ac:dyDescent="0.3">
      <c r="A11" t="s">
        <v>202</v>
      </c>
      <c r="B11" t="s">
        <v>202</v>
      </c>
      <c r="C11" t="s">
        <v>201</v>
      </c>
      <c r="E11">
        <v>-37.671232876712303</v>
      </c>
      <c r="F11">
        <v>0</v>
      </c>
      <c r="G11">
        <v>-1</v>
      </c>
      <c r="H11" t="s">
        <v>68</v>
      </c>
    </row>
    <row r="12" spans="1:8" x14ac:dyDescent="0.3">
      <c r="A12" t="s">
        <v>203</v>
      </c>
      <c r="B12" t="s">
        <v>203</v>
      </c>
      <c r="C12" t="s">
        <v>204</v>
      </c>
      <c r="E12">
        <v>3759.2140887433002</v>
      </c>
      <c r="F12">
        <v>0</v>
      </c>
      <c r="G12">
        <v>-1</v>
      </c>
      <c r="H12"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49"/>
  <sheetViews>
    <sheetView topLeftCell="A7" workbookViewId="0">
      <selection activeCell="A31" sqref="A31:XFD34"/>
    </sheetView>
  </sheetViews>
  <sheetFormatPr defaultRowHeight="14.4" x14ac:dyDescent="0.3"/>
  <cols>
    <col min="1" max="1" width="30" bestFit="1" customWidth="1"/>
    <col min="2" max="3" width="28.6640625" bestFit="1" customWidth="1"/>
  </cols>
  <sheetData>
    <row r="1" spans="1:54"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211</v>
      </c>
      <c r="AL1" t="s">
        <v>212</v>
      </c>
      <c r="AM1" t="s">
        <v>158</v>
      </c>
      <c r="AN1" t="s">
        <v>145</v>
      </c>
      <c r="AO1" t="s">
        <v>143</v>
      </c>
      <c r="AP1" t="s">
        <v>144</v>
      </c>
      <c r="AQ1" t="s">
        <v>111</v>
      </c>
      <c r="AR1" t="s">
        <v>110</v>
      </c>
      <c r="AS1" t="s">
        <v>109</v>
      </c>
      <c r="AT1" t="s">
        <v>105</v>
      </c>
      <c r="AU1" t="s">
        <v>106</v>
      </c>
      <c r="AV1" t="s">
        <v>107</v>
      </c>
      <c r="AW1" t="s">
        <v>112</v>
      </c>
      <c r="AX1" t="s">
        <v>108</v>
      </c>
      <c r="AY1" t="s">
        <v>213</v>
      </c>
      <c r="AZ1" t="s">
        <v>48</v>
      </c>
      <c r="BA1" t="s">
        <v>146</v>
      </c>
      <c r="BB1" t="s">
        <v>147</v>
      </c>
    </row>
    <row r="2" spans="1:54"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L2">
        <v>1</v>
      </c>
      <c r="AN2">
        <v>1</v>
      </c>
      <c r="AP2">
        <v>1</v>
      </c>
      <c r="AQ2">
        <v>500</v>
      </c>
      <c r="AR2">
        <v>1</v>
      </c>
      <c r="AS2">
        <v>0</v>
      </c>
      <c r="AT2" t="s">
        <v>114</v>
      </c>
      <c r="AU2" t="s">
        <v>115</v>
      </c>
      <c r="AV2">
        <v>1</v>
      </c>
      <c r="AW2">
        <v>0.96184305038492401</v>
      </c>
      <c r="BA2" t="s">
        <v>99</v>
      </c>
      <c r="BB2">
        <v>464.56899717447197</v>
      </c>
    </row>
    <row r="3" spans="1:54" x14ac:dyDescent="0.3">
      <c r="A3" t="s">
        <v>177</v>
      </c>
      <c r="B3" t="s">
        <v>175</v>
      </c>
      <c r="C3" t="s">
        <v>177</v>
      </c>
      <c r="E3" t="s">
        <v>122</v>
      </c>
      <c r="F3">
        <v>1</v>
      </c>
      <c r="G3" t="s">
        <v>68</v>
      </c>
      <c r="H3">
        <v>0</v>
      </c>
      <c r="I3" t="s">
        <v>7</v>
      </c>
      <c r="J3">
        <v>0</v>
      </c>
      <c r="K3">
        <v>0</v>
      </c>
      <c r="L3" t="s">
        <v>68</v>
      </c>
      <c r="M3">
        <v>0</v>
      </c>
      <c r="N3" t="s">
        <v>7</v>
      </c>
      <c r="Q3">
        <v>0</v>
      </c>
      <c r="R3">
        <v>1</v>
      </c>
      <c r="S3">
        <v>0</v>
      </c>
      <c r="T3">
        <v>0</v>
      </c>
      <c r="U3">
        <v>0</v>
      </c>
      <c r="V3">
        <v>0</v>
      </c>
      <c r="W3">
        <v>0</v>
      </c>
      <c r="X3">
        <v>1</v>
      </c>
      <c r="Y3" t="s">
        <v>99</v>
      </c>
      <c r="Z3">
        <v>0</v>
      </c>
      <c r="AA3">
        <v>0</v>
      </c>
      <c r="AB3">
        <v>0</v>
      </c>
      <c r="AC3">
        <v>0</v>
      </c>
      <c r="AD3">
        <v>1</v>
      </c>
      <c r="AE3">
        <v>0</v>
      </c>
      <c r="AH3">
        <v>1</v>
      </c>
      <c r="AI3">
        <v>1</v>
      </c>
      <c r="AJ3">
        <v>0</v>
      </c>
      <c r="AL3">
        <v>1</v>
      </c>
      <c r="AN3">
        <v>1</v>
      </c>
      <c r="AP3">
        <v>1</v>
      </c>
      <c r="BA3" t="s">
        <v>99</v>
      </c>
      <c r="BB3">
        <v>0</v>
      </c>
    </row>
    <row r="4" spans="1:54" x14ac:dyDescent="0.3">
      <c r="A4" t="s">
        <v>178</v>
      </c>
      <c r="B4" t="s">
        <v>176</v>
      </c>
      <c r="C4" t="s">
        <v>178</v>
      </c>
      <c r="E4" t="s">
        <v>122</v>
      </c>
      <c r="F4">
        <v>1</v>
      </c>
      <c r="G4" t="s">
        <v>68</v>
      </c>
      <c r="H4">
        <v>0</v>
      </c>
      <c r="I4" t="s">
        <v>7</v>
      </c>
      <c r="J4">
        <v>0</v>
      </c>
      <c r="K4">
        <v>0</v>
      </c>
      <c r="L4" t="s">
        <v>68</v>
      </c>
      <c r="M4">
        <v>0</v>
      </c>
      <c r="N4" t="s">
        <v>7</v>
      </c>
      <c r="Q4">
        <v>0</v>
      </c>
      <c r="R4">
        <v>1</v>
      </c>
      <c r="S4">
        <v>0</v>
      </c>
      <c r="T4">
        <v>0</v>
      </c>
      <c r="U4">
        <v>0</v>
      </c>
      <c r="V4">
        <v>0</v>
      </c>
      <c r="W4">
        <v>0</v>
      </c>
      <c r="X4">
        <v>1</v>
      </c>
      <c r="Y4" t="s">
        <v>99</v>
      </c>
      <c r="Z4">
        <v>0</v>
      </c>
      <c r="AA4">
        <v>0</v>
      </c>
      <c r="AB4">
        <v>0</v>
      </c>
      <c r="AC4">
        <v>0</v>
      </c>
      <c r="AD4">
        <v>1</v>
      </c>
      <c r="AE4">
        <v>0</v>
      </c>
      <c r="AH4">
        <v>1</v>
      </c>
      <c r="AI4">
        <v>1</v>
      </c>
      <c r="AJ4">
        <v>0</v>
      </c>
      <c r="AL4">
        <v>1</v>
      </c>
      <c r="AN4">
        <v>1</v>
      </c>
      <c r="AP4">
        <v>1</v>
      </c>
      <c r="BA4" t="s">
        <v>99</v>
      </c>
      <c r="BB4">
        <v>0</v>
      </c>
    </row>
    <row r="5" spans="1:54" x14ac:dyDescent="0.3">
      <c r="A5" t="s">
        <v>214</v>
      </c>
      <c r="B5" t="s">
        <v>148</v>
      </c>
      <c r="C5" t="s">
        <v>58</v>
      </c>
      <c r="E5" t="s">
        <v>133</v>
      </c>
      <c r="F5">
        <v>0.43</v>
      </c>
      <c r="G5" t="s">
        <v>68</v>
      </c>
      <c r="H5">
        <v>0</v>
      </c>
      <c r="I5">
        <v>25</v>
      </c>
      <c r="J5">
        <v>0</v>
      </c>
      <c r="K5">
        <v>0</v>
      </c>
      <c r="L5" t="s">
        <v>68</v>
      </c>
      <c r="M5">
        <v>0</v>
      </c>
      <c r="N5" t="s">
        <v>7</v>
      </c>
      <c r="Q5">
        <v>0</v>
      </c>
      <c r="R5">
        <v>1</v>
      </c>
      <c r="S5">
        <v>19458.581797472601</v>
      </c>
      <c r="T5">
        <v>2.0476599999999898</v>
      </c>
      <c r="U5">
        <v>0</v>
      </c>
      <c r="V5">
        <v>0</v>
      </c>
      <c r="W5">
        <v>0</v>
      </c>
      <c r="X5">
        <v>1</v>
      </c>
      <c r="Y5" t="s">
        <v>99</v>
      </c>
      <c r="Z5">
        <v>0</v>
      </c>
      <c r="AA5">
        <v>0</v>
      </c>
      <c r="AB5">
        <v>0</v>
      </c>
      <c r="AC5">
        <v>0</v>
      </c>
      <c r="AD5">
        <v>1</v>
      </c>
      <c r="AE5">
        <v>0</v>
      </c>
      <c r="AH5">
        <v>1</v>
      </c>
      <c r="AI5">
        <v>1</v>
      </c>
      <c r="AJ5">
        <v>0</v>
      </c>
      <c r="AL5">
        <v>1</v>
      </c>
      <c r="AN5">
        <v>1</v>
      </c>
      <c r="AO5" t="s">
        <v>139</v>
      </c>
      <c r="AP5">
        <v>0.19800000000000001</v>
      </c>
      <c r="BA5" t="s">
        <v>99</v>
      </c>
      <c r="BB5">
        <v>0</v>
      </c>
    </row>
    <row r="6" spans="1:54" x14ac:dyDescent="0.3">
      <c r="A6" t="s">
        <v>149</v>
      </c>
      <c r="B6" t="s">
        <v>148</v>
      </c>
      <c r="C6" t="s">
        <v>61</v>
      </c>
      <c r="E6" t="s">
        <v>133</v>
      </c>
      <c r="F6">
        <v>0.43</v>
      </c>
      <c r="G6" t="s">
        <v>68</v>
      </c>
      <c r="H6">
        <v>0</v>
      </c>
      <c r="I6">
        <v>25</v>
      </c>
      <c r="J6">
        <v>0</v>
      </c>
      <c r="K6">
        <v>0</v>
      </c>
      <c r="L6" t="s">
        <v>68</v>
      </c>
      <c r="M6">
        <v>0</v>
      </c>
      <c r="N6" t="s">
        <v>7</v>
      </c>
      <c r="Q6">
        <v>0</v>
      </c>
      <c r="R6">
        <v>1</v>
      </c>
      <c r="S6">
        <v>19458.581797472601</v>
      </c>
      <c r="T6">
        <v>2.0476599999999898</v>
      </c>
      <c r="U6">
        <v>0</v>
      </c>
      <c r="V6">
        <v>0</v>
      </c>
      <c r="W6">
        <v>0</v>
      </c>
      <c r="X6">
        <v>1</v>
      </c>
      <c r="Y6" t="s">
        <v>99</v>
      </c>
      <c r="Z6">
        <v>0</v>
      </c>
      <c r="AA6">
        <v>0</v>
      </c>
      <c r="AB6">
        <v>0</v>
      </c>
      <c r="AC6">
        <v>0</v>
      </c>
      <c r="AD6">
        <v>1</v>
      </c>
      <c r="AE6">
        <v>0</v>
      </c>
      <c r="AH6">
        <v>1</v>
      </c>
      <c r="AI6">
        <v>1</v>
      </c>
      <c r="AJ6">
        <v>0</v>
      </c>
      <c r="AL6">
        <v>1</v>
      </c>
      <c r="AN6">
        <v>1</v>
      </c>
      <c r="AO6" t="s">
        <v>139</v>
      </c>
      <c r="AP6">
        <v>0.19800000000000001</v>
      </c>
      <c r="BA6" t="s">
        <v>99</v>
      </c>
      <c r="BB6">
        <v>0</v>
      </c>
    </row>
    <row r="7" spans="1:54" x14ac:dyDescent="0.3">
      <c r="A7" t="s">
        <v>98</v>
      </c>
      <c r="B7" t="s">
        <v>148</v>
      </c>
      <c r="C7" t="s">
        <v>58</v>
      </c>
      <c r="E7" t="s">
        <v>10</v>
      </c>
      <c r="F7">
        <v>0.6</v>
      </c>
      <c r="G7" t="s">
        <v>68</v>
      </c>
      <c r="H7">
        <v>0</v>
      </c>
      <c r="I7">
        <v>25</v>
      </c>
      <c r="J7">
        <v>0</v>
      </c>
      <c r="K7">
        <v>0</v>
      </c>
      <c r="L7" t="s">
        <v>68</v>
      </c>
      <c r="M7">
        <v>0</v>
      </c>
      <c r="N7" t="s">
        <v>7</v>
      </c>
      <c r="Q7">
        <v>0</v>
      </c>
      <c r="R7">
        <v>1</v>
      </c>
      <c r="S7">
        <v>60095.398938164697</v>
      </c>
      <c r="T7">
        <v>2.5397399999999899</v>
      </c>
      <c r="U7">
        <v>0</v>
      </c>
      <c r="V7">
        <v>0</v>
      </c>
      <c r="W7">
        <v>0</v>
      </c>
      <c r="X7">
        <v>1</v>
      </c>
      <c r="Y7" t="s">
        <v>99</v>
      </c>
      <c r="Z7">
        <v>0</v>
      </c>
      <c r="AA7">
        <v>0</v>
      </c>
      <c r="AB7">
        <v>0</v>
      </c>
      <c r="AC7">
        <v>0</v>
      </c>
      <c r="AD7">
        <v>1</v>
      </c>
      <c r="AE7">
        <v>0</v>
      </c>
      <c r="AH7">
        <v>1</v>
      </c>
      <c r="AI7">
        <v>1</v>
      </c>
      <c r="AJ7">
        <v>0</v>
      </c>
      <c r="AL7">
        <v>1</v>
      </c>
      <c r="AN7">
        <v>1</v>
      </c>
      <c r="AO7" t="s">
        <v>139</v>
      </c>
      <c r="AP7">
        <v>0.19800000000000001</v>
      </c>
      <c r="BA7" t="s">
        <v>99</v>
      </c>
      <c r="BB7">
        <v>0</v>
      </c>
    </row>
    <row r="8" spans="1:54" x14ac:dyDescent="0.3">
      <c r="A8" t="s">
        <v>215</v>
      </c>
      <c r="B8" t="s">
        <v>148</v>
      </c>
      <c r="C8" t="s">
        <v>61</v>
      </c>
      <c r="E8" t="s">
        <v>10</v>
      </c>
      <c r="F8">
        <v>0.6</v>
      </c>
      <c r="G8" t="s">
        <v>68</v>
      </c>
      <c r="H8">
        <v>0</v>
      </c>
      <c r="I8">
        <v>25</v>
      </c>
      <c r="J8">
        <v>0</v>
      </c>
      <c r="K8">
        <v>0</v>
      </c>
      <c r="L8" t="s">
        <v>68</v>
      </c>
      <c r="M8">
        <v>0</v>
      </c>
      <c r="N8" t="s">
        <v>7</v>
      </c>
      <c r="Q8">
        <v>0</v>
      </c>
      <c r="R8">
        <v>1</v>
      </c>
      <c r="S8">
        <v>60095.398938164697</v>
      </c>
      <c r="T8">
        <v>2.5397399999999899</v>
      </c>
      <c r="U8">
        <v>0</v>
      </c>
      <c r="V8">
        <v>0</v>
      </c>
      <c r="W8">
        <v>0</v>
      </c>
      <c r="X8">
        <v>1</v>
      </c>
      <c r="Y8" t="s">
        <v>99</v>
      </c>
      <c r="Z8">
        <v>0</v>
      </c>
      <c r="AA8">
        <v>0</v>
      </c>
      <c r="AB8">
        <v>0</v>
      </c>
      <c r="AC8">
        <v>0</v>
      </c>
      <c r="AD8">
        <v>1</v>
      </c>
      <c r="AE8">
        <v>0</v>
      </c>
      <c r="AH8">
        <v>1</v>
      </c>
      <c r="AI8">
        <v>1</v>
      </c>
      <c r="AJ8">
        <v>0</v>
      </c>
      <c r="AL8">
        <v>1</v>
      </c>
      <c r="AN8">
        <v>1</v>
      </c>
      <c r="AO8" t="s">
        <v>139</v>
      </c>
      <c r="AP8">
        <v>0.19800000000000001</v>
      </c>
      <c r="BA8" t="s">
        <v>99</v>
      </c>
      <c r="BB8">
        <v>0</v>
      </c>
    </row>
    <row r="9" spans="1:54" x14ac:dyDescent="0.3">
      <c r="A9" t="s">
        <v>216</v>
      </c>
      <c r="B9" t="s">
        <v>58</v>
      </c>
      <c r="C9" t="s">
        <v>179</v>
      </c>
      <c r="E9" t="s">
        <v>132</v>
      </c>
      <c r="F9">
        <v>0.69940000000000002</v>
      </c>
      <c r="G9" t="s">
        <v>68</v>
      </c>
      <c r="H9">
        <v>0</v>
      </c>
      <c r="I9">
        <v>25</v>
      </c>
      <c r="J9">
        <v>0</v>
      </c>
      <c r="K9">
        <v>0</v>
      </c>
      <c r="L9" t="s">
        <v>68</v>
      </c>
      <c r="M9">
        <v>0</v>
      </c>
      <c r="N9" t="s">
        <v>7</v>
      </c>
      <c r="Q9">
        <v>0</v>
      </c>
      <c r="R9">
        <v>1</v>
      </c>
      <c r="S9">
        <v>125810.517220665</v>
      </c>
      <c r="T9">
        <v>0</v>
      </c>
      <c r="U9">
        <v>0</v>
      </c>
      <c r="V9">
        <v>0</v>
      </c>
      <c r="W9">
        <v>0</v>
      </c>
      <c r="X9">
        <v>1</v>
      </c>
      <c r="Y9" t="s">
        <v>99</v>
      </c>
      <c r="Z9">
        <v>0</v>
      </c>
      <c r="AA9">
        <v>0</v>
      </c>
      <c r="AB9">
        <v>0</v>
      </c>
      <c r="AC9">
        <v>0</v>
      </c>
      <c r="AD9">
        <v>1</v>
      </c>
      <c r="AE9">
        <v>0</v>
      </c>
      <c r="AH9">
        <v>1</v>
      </c>
      <c r="AI9">
        <v>1</v>
      </c>
      <c r="AJ9">
        <v>0</v>
      </c>
      <c r="AL9">
        <v>1</v>
      </c>
      <c r="AN9">
        <v>1</v>
      </c>
      <c r="AO9" t="s">
        <v>181</v>
      </c>
      <c r="AP9">
        <v>3.5149999999999897E-2</v>
      </c>
      <c r="BA9" t="s">
        <v>99</v>
      </c>
      <c r="BB9">
        <v>0</v>
      </c>
    </row>
    <row r="10" spans="1:54" x14ac:dyDescent="0.3">
      <c r="A10" t="s">
        <v>217</v>
      </c>
      <c r="B10" t="s">
        <v>61</v>
      </c>
      <c r="C10" t="s">
        <v>180</v>
      </c>
      <c r="E10" t="s">
        <v>132</v>
      </c>
      <c r="F10">
        <v>0.69940000000000002</v>
      </c>
      <c r="G10" t="s">
        <v>68</v>
      </c>
      <c r="H10">
        <v>0</v>
      </c>
      <c r="I10">
        <v>25</v>
      </c>
      <c r="J10">
        <v>0</v>
      </c>
      <c r="K10">
        <v>0</v>
      </c>
      <c r="L10" t="s">
        <v>68</v>
      </c>
      <c r="M10">
        <v>0</v>
      </c>
      <c r="N10" t="s">
        <v>7</v>
      </c>
      <c r="Q10">
        <v>0</v>
      </c>
      <c r="R10">
        <v>1</v>
      </c>
      <c r="S10">
        <v>125810.517220665</v>
      </c>
      <c r="T10">
        <v>0</v>
      </c>
      <c r="U10">
        <v>0</v>
      </c>
      <c r="V10">
        <v>0</v>
      </c>
      <c r="W10">
        <v>0</v>
      </c>
      <c r="X10">
        <v>1</v>
      </c>
      <c r="Y10" t="s">
        <v>99</v>
      </c>
      <c r="Z10">
        <v>0</v>
      </c>
      <c r="AA10">
        <v>0</v>
      </c>
      <c r="AB10">
        <v>0</v>
      </c>
      <c r="AC10">
        <v>0</v>
      </c>
      <c r="AD10">
        <v>1</v>
      </c>
      <c r="AE10">
        <v>0</v>
      </c>
      <c r="AH10">
        <v>1</v>
      </c>
      <c r="AI10">
        <v>1</v>
      </c>
      <c r="AJ10">
        <v>0</v>
      </c>
      <c r="AL10">
        <v>1</v>
      </c>
      <c r="AN10">
        <v>1</v>
      </c>
      <c r="AO10" t="s">
        <v>184</v>
      </c>
      <c r="AP10">
        <v>3.5149999999999897E-2</v>
      </c>
      <c r="BA10" t="s">
        <v>99</v>
      </c>
      <c r="BB10">
        <v>0</v>
      </c>
    </row>
    <row r="11" spans="1:54" x14ac:dyDescent="0.3">
      <c r="A11" t="s">
        <v>218</v>
      </c>
      <c r="B11" t="s">
        <v>179</v>
      </c>
      <c r="C11" t="s">
        <v>58</v>
      </c>
      <c r="E11" t="s">
        <v>219</v>
      </c>
      <c r="F11">
        <v>0.5</v>
      </c>
      <c r="G11" t="s">
        <v>68</v>
      </c>
      <c r="H11">
        <v>0</v>
      </c>
      <c r="I11">
        <v>10</v>
      </c>
      <c r="J11">
        <v>0</v>
      </c>
      <c r="K11">
        <v>0</v>
      </c>
      <c r="L11" t="s">
        <v>68</v>
      </c>
      <c r="M11">
        <v>0</v>
      </c>
      <c r="N11" t="s">
        <v>7</v>
      </c>
      <c r="Q11">
        <v>0</v>
      </c>
      <c r="R11">
        <v>1</v>
      </c>
      <c r="S11">
        <v>81431.213419837499</v>
      </c>
      <c r="T11">
        <v>0</v>
      </c>
      <c r="U11">
        <v>0</v>
      </c>
      <c r="V11">
        <v>0</v>
      </c>
      <c r="W11">
        <v>0</v>
      </c>
      <c r="X11">
        <v>1</v>
      </c>
      <c r="Y11" t="s">
        <v>99</v>
      </c>
      <c r="Z11">
        <v>0</v>
      </c>
      <c r="AA11">
        <v>0</v>
      </c>
      <c r="AB11">
        <v>0</v>
      </c>
      <c r="AC11">
        <v>0</v>
      </c>
      <c r="AD11">
        <v>1</v>
      </c>
      <c r="AE11">
        <v>0</v>
      </c>
      <c r="AH11">
        <v>1</v>
      </c>
      <c r="AI11">
        <v>1</v>
      </c>
      <c r="AJ11">
        <v>0</v>
      </c>
      <c r="AL11">
        <v>1</v>
      </c>
      <c r="AN11">
        <v>1</v>
      </c>
      <c r="AO11" t="s">
        <v>181</v>
      </c>
      <c r="AP11">
        <v>0.44999999999999901</v>
      </c>
      <c r="BA11" t="s">
        <v>99</v>
      </c>
      <c r="BB11">
        <v>0</v>
      </c>
    </row>
    <row r="12" spans="1:54" x14ac:dyDescent="0.3">
      <c r="A12" t="s">
        <v>220</v>
      </c>
      <c r="B12" t="s">
        <v>180</v>
      </c>
      <c r="C12" t="s">
        <v>61</v>
      </c>
      <c r="E12" t="s">
        <v>219</v>
      </c>
      <c r="F12">
        <v>0.5</v>
      </c>
      <c r="G12" t="s">
        <v>68</v>
      </c>
      <c r="H12">
        <v>0</v>
      </c>
      <c r="I12">
        <v>10</v>
      </c>
      <c r="J12">
        <v>0</v>
      </c>
      <c r="K12">
        <v>0</v>
      </c>
      <c r="L12" t="s">
        <v>68</v>
      </c>
      <c r="M12">
        <v>0</v>
      </c>
      <c r="N12" t="s">
        <v>7</v>
      </c>
      <c r="Q12">
        <v>0</v>
      </c>
      <c r="R12">
        <v>1</v>
      </c>
      <c r="S12">
        <v>81431.213419837499</v>
      </c>
      <c r="T12">
        <v>0</v>
      </c>
      <c r="U12">
        <v>0</v>
      </c>
      <c r="V12">
        <v>0</v>
      </c>
      <c r="W12">
        <v>0</v>
      </c>
      <c r="X12">
        <v>1</v>
      </c>
      <c r="Y12" t="s">
        <v>99</v>
      </c>
      <c r="Z12">
        <v>0</v>
      </c>
      <c r="AA12">
        <v>0</v>
      </c>
      <c r="AB12">
        <v>0</v>
      </c>
      <c r="AC12">
        <v>0</v>
      </c>
      <c r="AD12">
        <v>1</v>
      </c>
      <c r="AE12">
        <v>0</v>
      </c>
      <c r="AH12">
        <v>1</v>
      </c>
      <c r="AI12">
        <v>1</v>
      </c>
      <c r="AJ12">
        <v>0</v>
      </c>
      <c r="AL12">
        <v>1</v>
      </c>
      <c r="AN12">
        <v>1</v>
      </c>
      <c r="AO12" t="s">
        <v>184</v>
      </c>
      <c r="AP12">
        <v>0.44999999999999901</v>
      </c>
      <c r="BA12" t="s">
        <v>99</v>
      </c>
      <c r="BB12">
        <v>0</v>
      </c>
    </row>
    <row r="13" spans="1:54" x14ac:dyDescent="0.3">
      <c r="A13" t="s">
        <v>221</v>
      </c>
      <c r="B13" t="s">
        <v>179</v>
      </c>
      <c r="C13" t="s">
        <v>58</v>
      </c>
      <c r="E13" t="s">
        <v>222</v>
      </c>
      <c r="F13">
        <v>0.43</v>
      </c>
      <c r="G13" t="s">
        <v>68</v>
      </c>
      <c r="H13">
        <v>0</v>
      </c>
      <c r="I13">
        <v>25</v>
      </c>
      <c r="J13">
        <v>0</v>
      </c>
      <c r="K13">
        <v>0</v>
      </c>
      <c r="L13" t="s">
        <v>68</v>
      </c>
      <c r="M13">
        <v>0</v>
      </c>
      <c r="N13" t="s">
        <v>7</v>
      </c>
      <c r="Q13">
        <v>0</v>
      </c>
      <c r="R13">
        <v>1</v>
      </c>
      <c r="S13">
        <v>19458.581797472601</v>
      </c>
      <c r="T13">
        <v>4.7619999999999996</v>
      </c>
      <c r="U13">
        <v>0</v>
      </c>
      <c r="V13">
        <v>0</v>
      </c>
      <c r="W13">
        <v>0</v>
      </c>
      <c r="X13">
        <v>1</v>
      </c>
      <c r="Y13" t="s">
        <v>99</v>
      </c>
      <c r="Z13">
        <v>0</v>
      </c>
      <c r="AA13">
        <v>0</v>
      </c>
      <c r="AB13">
        <v>0</v>
      </c>
      <c r="AC13">
        <v>0</v>
      </c>
      <c r="AD13">
        <v>1</v>
      </c>
      <c r="AE13">
        <v>0</v>
      </c>
      <c r="AH13">
        <v>1</v>
      </c>
      <c r="AI13">
        <v>1</v>
      </c>
      <c r="AJ13">
        <v>0</v>
      </c>
      <c r="AL13">
        <v>1</v>
      </c>
      <c r="AN13">
        <v>1</v>
      </c>
      <c r="AP13">
        <v>1</v>
      </c>
      <c r="BA13" t="s">
        <v>99</v>
      </c>
      <c r="BB13">
        <v>0</v>
      </c>
    </row>
    <row r="14" spans="1:54" x14ac:dyDescent="0.3">
      <c r="A14" t="s">
        <v>223</v>
      </c>
      <c r="B14" t="s">
        <v>180</v>
      </c>
      <c r="C14" t="s">
        <v>61</v>
      </c>
      <c r="E14" t="s">
        <v>222</v>
      </c>
      <c r="F14">
        <v>0.43</v>
      </c>
      <c r="G14" t="s">
        <v>68</v>
      </c>
      <c r="H14">
        <v>0</v>
      </c>
      <c r="I14">
        <v>25</v>
      </c>
      <c r="J14">
        <v>0</v>
      </c>
      <c r="K14">
        <v>0</v>
      </c>
      <c r="L14" t="s">
        <v>68</v>
      </c>
      <c r="M14">
        <v>0</v>
      </c>
      <c r="N14" t="s">
        <v>7</v>
      </c>
      <c r="Q14">
        <v>0</v>
      </c>
      <c r="R14">
        <v>1</v>
      </c>
      <c r="S14">
        <v>19458.581797472601</v>
      </c>
      <c r="T14">
        <v>4.7619999999999996</v>
      </c>
      <c r="U14">
        <v>0</v>
      </c>
      <c r="V14">
        <v>0</v>
      </c>
      <c r="W14">
        <v>0</v>
      </c>
      <c r="X14">
        <v>1</v>
      </c>
      <c r="Y14" t="s">
        <v>99</v>
      </c>
      <c r="Z14">
        <v>0</v>
      </c>
      <c r="AA14">
        <v>0</v>
      </c>
      <c r="AB14">
        <v>0</v>
      </c>
      <c r="AC14">
        <v>0</v>
      </c>
      <c r="AD14">
        <v>1</v>
      </c>
      <c r="AE14">
        <v>0</v>
      </c>
      <c r="AH14">
        <v>1</v>
      </c>
      <c r="AI14">
        <v>1</v>
      </c>
      <c r="AJ14">
        <v>0</v>
      </c>
      <c r="AL14">
        <v>1</v>
      </c>
      <c r="AN14">
        <v>1</v>
      </c>
      <c r="AP14">
        <v>1</v>
      </c>
      <c r="BA14" t="s">
        <v>99</v>
      </c>
      <c r="BB14">
        <v>0</v>
      </c>
    </row>
    <row r="15" spans="1:54" x14ac:dyDescent="0.3">
      <c r="A15" t="s">
        <v>224</v>
      </c>
      <c r="B15" t="s">
        <v>179</v>
      </c>
      <c r="C15" t="s">
        <v>148</v>
      </c>
      <c r="E15" t="s">
        <v>128</v>
      </c>
      <c r="F15">
        <v>0.8</v>
      </c>
      <c r="G15" t="s">
        <v>68</v>
      </c>
      <c r="H15">
        <v>0</v>
      </c>
      <c r="I15">
        <v>20</v>
      </c>
      <c r="J15">
        <v>0</v>
      </c>
      <c r="K15">
        <v>0</v>
      </c>
      <c r="L15" t="s">
        <v>68</v>
      </c>
      <c r="M15">
        <v>0</v>
      </c>
      <c r="N15" t="s">
        <v>7</v>
      </c>
      <c r="Q15">
        <v>0.3</v>
      </c>
      <c r="R15">
        <v>1</v>
      </c>
      <c r="S15">
        <v>51721.473914865099</v>
      </c>
      <c r="T15">
        <v>0</v>
      </c>
      <c r="U15">
        <v>0</v>
      </c>
      <c r="V15">
        <v>0</v>
      </c>
      <c r="W15">
        <v>0</v>
      </c>
      <c r="X15">
        <v>1</v>
      </c>
      <c r="Y15" t="s">
        <v>99</v>
      </c>
      <c r="Z15">
        <v>0</v>
      </c>
      <c r="AA15">
        <v>0</v>
      </c>
      <c r="AB15">
        <v>0</v>
      </c>
      <c r="AC15">
        <v>0</v>
      </c>
      <c r="AD15">
        <v>1</v>
      </c>
      <c r="AE15">
        <v>0</v>
      </c>
      <c r="AH15">
        <v>1</v>
      </c>
      <c r="AI15">
        <v>1</v>
      </c>
      <c r="AJ15">
        <v>0</v>
      </c>
      <c r="AL15">
        <v>1</v>
      </c>
      <c r="AM15" t="s">
        <v>181</v>
      </c>
      <c r="AN15">
        <v>3.7499999999999901E-2</v>
      </c>
      <c r="AO15" t="s">
        <v>175</v>
      </c>
      <c r="AP15">
        <v>-0.15840000000000001</v>
      </c>
      <c r="BA15" t="s">
        <v>99</v>
      </c>
      <c r="BB15">
        <v>0</v>
      </c>
    </row>
    <row r="16" spans="1:54" x14ac:dyDescent="0.3">
      <c r="A16" t="s">
        <v>225</v>
      </c>
      <c r="B16" t="s">
        <v>180</v>
      </c>
      <c r="C16" t="s">
        <v>148</v>
      </c>
      <c r="E16" t="s">
        <v>128</v>
      </c>
      <c r="F16">
        <v>0.8</v>
      </c>
      <c r="G16" t="s">
        <v>68</v>
      </c>
      <c r="H16">
        <v>0</v>
      </c>
      <c r="I16">
        <v>20</v>
      </c>
      <c r="J16">
        <v>0</v>
      </c>
      <c r="K16">
        <v>0</v>
      </c>
      <c r="L16" t="s">
        <v>68</v>
      </c>
      <c r="M16">
        <v>0</v>
      </c>
      <c r="N16" t="s">
        <v>7</v>
      </c>
      <c r="Q16">
        <v>0.3</v>
      </c>
      <c r="R16">
        <v>1</v>
      </c>
      <c r="S16">
        <v>51721.473914865099</v>
      </c>
      <c r="T16">
        <v>0</v>
      </c>
      <c r="U16">
        <v>0</v>
      </c>
      <c r="V16">
        <v>0</v>
      </c>
      <c r="W16">
        <v>0</v>
      </c>
      <c r="X16">
        <v>1</v>
      </c>
      <c r="Y16" t="s">
        <v>99</v>
      </c>
      <c r="Z16">
        <v>0</v>
      </c>
      <c r="AA16">
        <v>0</v>
      </c>
      <c r="AB16">
        <v>0</v>
      </c>
      <c r="AC16">
        <v>0</v>
      </c>
      <c r="AD16">
        <v>1</v>
      </c>
      <c r="AE16">
        <v>0</v>
      </c>
      <c r="AH16">
        <v>1</v>
      </c>
      <c r="AI16">
        <v>1</v>
      </c>
      <c r="AJ16">
        <v>0</v>
      </c>
      <c r="AL16">
        <v>1</v>
      </c>
      <c r="AM16" t="s">
        <v>184</v>
      </c>
      <c r="AN16">
        <v>3.7499999999999901E-2</v>
      </c>
      <c r="AO16" t="s">
        <v>176</v>
      </c>
      <c r="AP16">
        <v>-0.15840000000000001</v>
      </c>
      <c r="BA16" t="s">
        <v>99</v>
      </c>
      <c r="BB16">
        <v>0</v>
      </c>
    </row>
    <row r="17" spans="1:54" x14ac:dyDescent="0.3">
      <c r="A17" t="s">
        <v>226</v>
      </c>
      <c r="B17" t="s">
        <v>148</v>
      </c>
      <c r="C17" t="s">
        <v>179</v>
      </c>
      <c r="E17" t="s">
        <v>227</v>
      </c>
      <c r="F17">
        <v>0.69</v>
      </c>
      <c r="G17" t="s">
        <v>68</v>
      </c>
      <c r="H17">
        <v>0</v>
      </c>
      <c r="I17">
        <v>30</v>
      </c>
      <c r="J17">
        <v>0</v>
      </c>
      <c r="K17">
        <v>0</v>
      </c>
      <c r="L17" t="s">
        <v>68</v>
      </c>
      <c r="M17">
        <v>0</v>
      </c>
      <c r="N17" t="s">
        <v>7</v>
      </c>
      <c r="Q17">
        <v>0</v>
      </c>
      <c r="R17">
        <v>1</v>
      </c>
      <c r="S17">
        <v>79103.134036374293</v>
      </c>
      <c r="T17">
        <v>0</v>
      </c>
      <c r="U17">
        <v>0</v>
      </c>
      <c r="V17">
        <v>0</v>
      </c>
      <c r="W17">
        <v>0</v>
      </c>
      <c r="X17">
        <v>1</v>
      </c>
      <c r="Y17" t="s">
        <v>99</v>
      </c>
      <c r="Z17">
        <v>0</v>
      </c>
      <c r="AA17">
        <v>0</v>
      </c>
      <c r="AB17">
        <v>0</v>
      </c>
      <c r="AC17">
        <v>0</v>
      </c>
      <c r="AD17">
        <v>1</v>
      </c>
      <c r="AE17">
        <v>0</v>
      </c>
      <c r="AH17">
        <v>1</v>
      </c>
      <c r="AI17">
        <v>1</v>
      </c>
      <c r="AJ17">
        <v>0</v>
      </c>
      <c r="AL17">
        <v>1</v>
      </c>
      <c r="AM17" t="s">
        <v>175</v>
      </c>
      <c r="AN17">
        <v>0.1782</v>
      </c>
      <c r="AO17" t="s">
        <v>139</v>
      </c>
      <c r="AP17">
        <v>1.9799999999999901E-2</v>
      </c>
      <c r="BA17" t="s">
        <v>99</v>
      </c>
      <c r="BB17">
        <v>0</v>
      </c>
    </row>
    <row r="18" spans="1:54" x14ac:dyDescent="0.3">
      <c r="A18" t="s">
        <v>228</v>
      </c>
      <c r="B18" t="s">
        <v>148</v>
      </c>
      <c r="C18" t="s">
        <v>180</v>
      </c>
      <c r="E18" t="s">
        <v>227</v>
      </c>
      <c r="F18">
        <v>0.69</v>
      </c>
      <c r="G18" t="s">
        <v>68</v>
      </c>
      <c r="H18">
        <v>0</v>
      </c>
      <c r="I18">
        <v>30</v>
      </c>
      <c r="J18">
        <v>0</v>
      </c>
      <c r="K18">
        <v>0</v>
      </c>
      <c r="L18" t="s">
        <v>68</v>
      </c>
      <c r="M18">
        <v>0</v>
      </c>
      <c r="N18" t="s">
        <v>7</v>
      </c>
      <c r="Q18">
        <v>0</v>
      </c>
      <c r="R18">
        <v>1</v>
      </c>
      <c r="S18">
        <v>79103.134036374293</v>
      </c>
      <c r="T18">
        <v>0</v>
      </c>
      <c r="U18">
        <v>0</v>
      </c>
      <c r="V18">
        <v>0</v>
      </c>
      <c r="W18">
        <v>0</v>
      </c>
      <c r="X18">
        <v>1</v>
      </c>
      <c r="Y18" t="s">
        <v>99</v>
      </c>
      <c r="Z18">
        <v>0</v>
      </c>
      <c r="AA18">
        <v>0</v>
      </c>
      <c r="AB18">
        <v>0</v>
      </c>
      <c r="AC18">
        <v>0</v>
      </c>
      <c r="AD18">
        <v>1</v>
      </c>
      <c r="AE18">
        <v>0</v>
      </c>
      <c r="AH18">
        <v>1</v>
      </c>
      <c r="AI18">
        <v>1</v>
      </c>
      <c r="AJ18">
        <v>0</v>
      </c>
      <c r="AL18">
        <v>1</v>
      </c>
      <c r="AM18" t="s">
        <v>176</v>
      </c>
      <c r="AN18">
        <v>0.1782</v>
      </c>
      <c r="AO18" t="s">
        <v>139</v>
      </c>
      <c r="AP18">
        <v>1.9799999999999901E-2</v>
      </c>
      <c r="BA18" t="s">
        <v>99</v>
      </c>
      <c r="BB18">
        <v>0</v>
      </c>
    </row>
    <row r="19" spans="1:54" x14ac:dyDescent="0.3">
      <c r="A19" t="s">
        <v>229</v>
      </c>
      <c r="B19" t="s">
        <v>148</v>
      </c>
      <c r="C19" t="s">
        <v>179</v>
      </c>
      <c r="E19" t="s">
        <v>230</v>
      </c>
      <c r="F19">
        <v>0.76</v>
      </c>
      <c r="G19" t="s">
        <v>68</v>
      </c>
      <c r="H19">
        <v>0</v>
      </c>
      <c r="I19">
        <v>30</v>
      </c>
      <c r="J19">
        <v>0</v>
      </c>
      <c r="K19">
        <v>0</v>
      </c>
      <c r="L19" t="s">
        <v>68</v>
      </c>
      <c r="M19">
        <v>0</v>
      </c>
      <c r="N19" t="s">
        <v>7</v>
      </c>
      <c r="Q19">
        <v>0</v>
      </c>
      <c r="R19">
        <v>1</v>
      </c>
      <c r="S19">
        <v>68192.356924756794</v>
      </c>
      <c r="T19">
        <v>0</v>
      </c>
      <c r="U19">
        <v>0</v>
      </c>
      <c r="V19">
        <v>0</v>
      </c>
      <c r="W19">
        <v>0</v>
      </c>
      <c r="X19">
        <v>1</v>
      </c>
      <c r="Y19" t="s">
        <v>99</v>
      </c>
      <c r="Z19">
        <v>0</v>
      </c>
      <c r="AA19">
        <v>0</v>
      </c>
      <c r="AB19">
        <v>0</v>
      </c>
      <c r="AC19">
        <v>0</v>
      </c>
      <c r="AD19">
        <v>1</v>
      </c>
      <c r="AE19">
        <v>0</v>
      </c>
      <c r="AH19">
        <v>1</v>
      </c>
      <c r="AI19">
        <v>1</v>
      </c>
      <c r="AJ19">
        <v>0</v>
      </c>
      <c r="AL19">
        <v>1</v>
      </c>
      <c r="AN19">
        <v>1</v>
      </c>
      <c r="AO19" t="s">
        <v>139</v>
      </c>
      <c r="AP19">
        <v>0.19800000000000001</v>
      </c>
      <c r="BA19" t="s">
        <v>99</v>
      </c>
      <c r="BB19">
        <v>0</v>
      </c>
    </row>
    <row r="20" spans="1:54" x14ac:dyDescent="0.3">
      <c r="A20" t="s">
        <v>231</v>
      </c>
      <c r="B20" t="s">
        <v>148</v>
      </c>
      <c r="C20" t="s">
        <v>180</v>
      </c>
      <c r="E20" t="s">
        <v>230</v>
      </c>
      <c r="F20">
        <v>0.76</v>
      </c>
      <c r="G20" t="s">
        <v>68</v>
      </c>
      <c r="H20">
        <v>0</v>
      </c>
      <c r="I20">
        <v>30</v>
      </c>
      <c r="J20">
        <v>0</v>
      </c>
      <c r="K20">
        <v>0</v>
      </c>
      <c r="L20" t="s">
        <v>68</v>
      </c>
      <c r="M20">
        <v>0</v>
      </c>
      <c r="N20" t="s">
        <v>7</v>
      </c>
      <c r="Q20">
        <v>0</v>
      </c>
      <c r="R20">
        <v>1</v>
      </c>
      <c r="S20">
        <v>68192.356924756794</v>
      </c>
      <c r="T20">
        <v>0</v>
      </c>
      <c r="U20">
        <v>0</v>
      </c>
      <c r="V20">
        <v>0</v>
      </c>
      <c r="W20">
        <v>0</v>
      </c>
      <c r="X20">
        <v>1</v>
      </c>
      <c r="Y20" t="s">
        <v>99</v>
      </c>
      <c r="Z20">
        <v>0</v>
      </c>
      <c r="AA20">
        <v>0</v>
      </c>
      <c r="AB20">
        <v>0</v>
      </c>
      <c r="AC20">
        <v>0</v>
      </c>
      <c r="AD20">
        <v>1</v>
      </c>
      <c r="AE20">
        <v>0</v>
      </c>
      <c r="AH20">
        <v>1</v>
      </c>
      <c r="AI20">
        <v>1</v>
      </c>
      <c r="AJ20">
        <v>0</v>
      </c>
      <c r="AL20">
        <v>1</v>
      </c>
      <c r="AN20">
        <v>1</v>
      </c>
      <c r="AO20" t="s">
        <v>139</v>
      </c>
      <c r="AP20">
        <v>0.19800000000000001</v>
      </c>
      <c r="BA20" t="s">
        <v>99</v>
      </c>
      <c r="BB20">
        <v>0</v>
      </c>
    </row>
    <row r="21" spans="1:54" x14ac:dyDescent="0.3">
      <c r="A21" t="s">
        <v>232</v>
      </c>
      <c r="B21" t="s">
        <v>148</v>
      </c>
      <c r="C21" t="s">
        <v>181</v>
      </c>
      <c r="E21" t="s">
        <v>233</v>
      </c>
      <c r="F21">
        <v>1.04</v>
      </c>
      <c r="G21" t="s">
        <v>68</v>
      </c>
      <c r="H21">
        <v>0</v>
      </c>
      <c r="I21">
        <v>25</v>
      </c>
      <c r="J21">
        <v>0</v>
      </c>
      <c r="K21">
        <v>0</v>
      </c>
      <c r="L21" t="s">
        <v>68</v>
      </c>
      <c r="M21">
        <v>0</v>
      </c>
      <c r="N21" t="s">
        <v>7</v>
      </c>
      <c r="Q21">
        <v>0</v>
      </c>
      <c r="R21">
        <v>1</v>
      </c>
      <c r="S21">
        <v>6592.87850802293</v>
      </c>
      <c r="T21">
        <v>0</v>
      </c>
      <c r="U21">
        <v>0</v>
      </c>
      <c r="V21">
        <v>0</v>
      </c>
      <c r="W21">
        <v>0</v>
      </c>
      <c r="X21">
        <v>1</v>
      </c>
      <c r="Y21" t="s">
        <v>99</v>
      </c>
      <c r="Z21">
        <v>0</v>
      </c>
      <c r="AA21">
        <v>0</v>
      </c>
      <c r="AB21">
        <v>0</v>
      </c>
      <c r="AC21">
        <v>0</v>
      </c>
      <c r="AD21">
        <v>1</v>
      </c>
      <c r="AE21">
        <v>0</v>
      </c>
      <c r="AH21">
        <v>1</v>
      </c>
      <c r="AI21">
        <v>1</v>
      </c>
      <c r="AJ21">
        <v>0</v>
      </c>
      <c r="AL21">
        <v>1</v>
      </c>
      <c r="AN21">
        <v>1</v>
      </c>
      <c r="AO21" t="s">
        <v>139</v>
      </c>
      <c r="AP21">
        <v>0.19800000000000001</v>
      </c>
      <c r="BA21" t="s">
        <v>99</v>
      </c>
      <c r="BB21">
        <v>0</v>
      </c>
    </row>
    <row r="22" spans="1:54" x14ac:dyDescent="0.3">
      <c r="A22" t="s">
        <v>234</v>
      </c>
      <c r="B22" t="s">
        <v>148</v>
      </c>
      <c r="C22" t="s">
        <v>184</v>
      </c>
      <c r="E22" t="s">
        <v>233</v>
      </c>
      <c r="F22">
        <v>1.04</v>
      </c>
      <c r="G22" t="s">
        <v>68</v>
      </c>
      <c r="H22">
        <v>0</v>
      </c>
      <c r="I22">
        <v>25</v>
      </c>
      <c r="J22">
        <v>0</v>
      </c>
      <c r="K22">
        <v>0</v>
      </c>
      <c r="L22" t="s">
        <v>68</v>
      </c>
      <c r="M22">
        <v>0</v>
      </c>
      <c r="N22" t="s">
        <v>7</v>
      </c>
      <c r="Q22">
        <v>0</v>
      </c>
      <c r="R22">
        <v>1</v>
      </c>
      <c r="S22">
        <v>6592.87850802293</v>
      </c>
      <c r="T22">
        <v>0</v>
      </c>
      <c r="U22">
        <v>0</v>
      </c>
      <c r="V22">
        <v>0</v>
      </c>
      <c r="W22">
        <v>0</v>
      </c>
      <c r="X22">
        <v>1</v>
      </c>
      <c r="Y22" t="s">
        <v>99</v>
      </c>
      <c r="Z22">
        <v>0</v>
      </c>
      <c r="AA22">
        <v>0</v>
      </c>
      <c r="AB22">
        <v>0</v>
      </c>
      <c r="AC22">
        <v>0</v>
      </c>
      <c r="AD22">
        <v>1</v>
      </c>
      <c r="AE22">
        <v>0</v>
      </c>
      <c r="AH22">
        <v>1</v>
      </c>
      <c r="AI22">
        <v>1</v>
      </c>
      <c r="AJ22">
        <v>0</v>
      </c>
      <c r="AL22">
        <v>1</v>
      </c>
      <c r="AN22">
        <v>1</v>
      </c>
      <c r="AO22" t="s">
        <v>139</v>
      </c>
      <c r="AP22">
        <v>0.19800000000000001</v>
      </c>
      <c r="BA22" t="s">
        <v>99</v>
      </c>
      <c r="BB22">
        <v>0</v>
      </c>
    </row>
    <row r="23" spans="1:54" x14ac:dyDescent="0.3">
      <c r="A23" t="s">
        <v>235</v>
      </c>
      <c r="B23" t="s">
        <v>148</v>
      </c>
      <c r="C23" t="s">
        <v>58</v>
      </c>
      <c r="E23" t="s">
        <v>236</v>
      </c>
      <c r="F23">
        <v>0.43</v>
      </c>
      <c r="G23" t="s">
        <v>68</v>
      </c>
      <c r="H23">
        <v>0</v>
      </c>
      <c r="I23">
        <v>25</v>
      </c>
      <c r="J23">
        <v>0</v>
      </c>
      <c r="K23">
        <v>0</v>
      </c>
      <c r="L23" t="s">
        <v>68</v>
      </c>
      <c r="M23">
        <v>0</v>
      </c>
      <c r="N23" t="s">
        <v>7</v>
      </c>
      <c r="Q23">
        <v>0</v>
      </c>
      <c r="R23">
        <v>1</v>
      </c>
      <c r="S23">
        <v>28494.885496693201</v>
      </c>
      <c r="T23">
        <v>4.2328999999999999</v>
      </c>
      <c r="U23">
        <v>0</v>
      </c>
      <c r="V23">
        <v>0</v>
      </c>
      <c r="W23">
        <v>0</v>
      </c>
      <c r="X23">
        <v>1</v>
      </c>
      <c r="Y23" t="s">
        <v>99</v>
      </c>
      <c r="Z23">
        <v>0</v>
      </c>
      <c r="AA23">
        <v>0</v>
      </c>
      <c r="AB23">
        <v>0</v>
      </c>
      <c r="AC23">
        <v>0</v>
      </c>
      <c r="AD23">
        <v>1</v>
      </c>
      <c r="AE23">
        <v>0</v>
      </c>
      <c r="AH23">
        <v>1</v>
      </c>
      <c r="AI23">
        <v>1</v>
      </c>
      <c r="AJ23">
        <v>0</v>
      </c>
      <c r="AL23">
        <v>1</v>
      </c>
      <c r="AM23" t="s">
        <v>139</v>
      </c>
      <c r="AN23">
        <v>0.19800000000000001</v>
      </c>
      <c r="AO23" t="s">
        <v>181</v>
      </c>
      <c r="AP23">
        <v>0.43</v>
      </c>
      <c r="BA23" t="s">
        <v>99</v>
      </c>
      <c r="BB23">
        <v>0</v>
      </c>
    </row>
    <row r="24" spans="1:54" x14ac:dyDescent="0.3">
      <c r="A24" t="s">
        <v>237</v>
      </c>
      <c r="B24" t="s">
        <v>148</v>
      </c>
      <c r="C24" t="s">
        <v>61</v>
      </c>
      <c r="E24" t="s">
        <v>236</v>
      </c>
      <c r="F24">
        <v>0.43</v>
      </c>
      <c r="G24" t="s">
        <v>68</v>
      </c>
      <c r="H24">
        <v>0</v>
      </c>
      <c r="I24">
        <v>25</v>
      </c>
      <c r="J24">
        <v>0</v>
      </c>
      <c r="K24">
        <v>0</v>
      </c>
      <c r="L24" t="s">
        <v>68</v>
      </c>
      <c r="M24">
        <v>0</v>
      </c>
      <c r="N24" t="s">
        <v>7</v>
      </c>
      <c r="Q24">
        <v>0</v>
      </c>
      <c r="R24">
        <v>1</v>
      </c>
      <c r="S24">
        <v>28494.885496693201</v>
      </c>
      <c r="T24">
        <v>4.2328999999999999</v>
      </c>
      <c r="U24">
        <v>0</v>
      </c>
      <c r="V24">
        <v>0</v>
      </c>
      <c r="W24">
        <v>0</v>
      </c>
      <c r="X24">
        <v>1</v>
      </c>
      <c r="Y24" t="s">
        <v>99</v>
      </c>
      <c r="Z24">
        <v>0</v>
      </c>
      <c r="AA24">
        <v>0</v>
      </c>
      <c r="AB24">
        <v>0</v>
      </c>
      <c r="AC24">
        <v>0</v>
      </c>
      <c r="AD24">
        <v>1</v>
      </c>
      <c r="AE24">
        <v>0</v>
      </c>
      <c r="AH24">
        <v>1</v>
      </c>
      <c r="AI24">
        <v>1</v>
      </c>
      <c r="AJ24">
        <v>0</v>
      </c>
      <c r="AL24">
        <v>1</v>
      </c>
      <c r="AM24" t="s">
        <v>139</v>
      </c>
      <c r="AN24">
        <v>0.19800000000000001</v>
      </c>
      <c r="AO24" t="s">
        <v>184</v>
      </c>
      <c r="AP24">
        <v>0.43</v>
      </c>
      <c r="BA24" t="s">
        <v>99</v>
      </c>
      <c r="BB24">
        <v>0</v>
      </c>
    </row>
    <row r="25" spans="1:54" x14ac:dyDescent="0.3">
      <c r="A25" t="s">
        <v>238</v>
      </c>
      <c r="B25" t="s">
        <v>148</v>
      </c>
      <c r="C25" t="s">
        <v>58</v>
      </c>
      <c r="E25" t="s">
        <v>239</v>
      </c>
      <c r="F25">
        <v>0.41119</v>
      </c>
      <c r="G25" t="s">
        <v>68</v>
      </c>
      <c r="H25">
        <v>0</v>
      </c>
      <c r="I25">
        <v>25</v>
      </c>
      <c r="J25">
        <v>0</v>
      </c>
      <c r="K25">
        <v>0</v>
      </c>
      <c r="L25" t="s">
        <v>68</v>
      </c>
      <c r="M25">
        <v>0</v>
      </c>
      <c r="N25" t="s">
        <v>7</v>
      </c>
      <c r="Q25">
        <v>0</v>
      </c>
      <c r="R25">
        <v>1</v>
      </c>
      <c r="S25">
        <v>74355.850316076801</v>
      </c>
      <c r="T25">
        <v>4.2328999999999999</v>
      </c>
      <c r="U25">
        <v>0</v>
      </c>
      <c r="V25">
        <v>0</v>
      </c>
      <c r="W25">
        <v>0</v>
      </c>
      <c r="X25">
        <v>1</v>
      </c>
      <c r="Y25" t="s">
        <v>99</v>
      </c>
      <c r="Z25">
        <v>0</v>
      </c>
      <c r="AA25">
        <v>0</v>
      </c>
      <c r="AB25">
        <v>0</v>
      </c>
      <c r="AC25">
        <v>0</v>
      </c>
      <c r="AD25">
        <v>1</v>
      </c>
      <c r="AE25">
        <v>0</v>
      </c>
      <c r="AH25">
        <v>1</v>
      </c>
      <c r="AI25">
        <v>1</v>
      </c>
      <c r="AJ25">
        <v>0</v>
      </c>
      <c r="AK25" t="s">
        <v>175</v>
      </c>
      <c r="AL25">
        <v>0.18809999999999999</v>
      </c>
      <c r="AM25" t="s">
        <v>139</v>
      </c>
      <c r="AN25">
        <v>9.9000000000000095E-3</v>
      </c>
      <c r="AO25" t="s">
        <v>181</v>
      </c>
      <c r="AP25">
        <v>0.45573999999999998</v>
      </c>
      <c r="BA25" t="s">
        <v>99</v>
      </c>
      <c r="BB25">
        <v>0</v>
      </c>
    </row>
    <row r="26" spans="1:54" x14ac:dyDescent="0.3">
      <c r="A26" t="s">
        <v>240</v>
      </c>
      <c r="B26" t="s">
        <v>148</v>
      </c>
      <c r="C26" t="s">
        <v>61</v>
      </c>
      <c r="E26" t="s">
        <v>239</v>
      </c>
      <c r="F26">
        <v>0.41119</v>
      </c>
      <c r="G26" t="s">
        <v>68</v>
      </c>
      <c r="H26">
        <v>0</v>
      </c>
      <c r="I26">
        <v>25</v>
      </c>
      <c r="J26">
        <v>0</v>
      </c>
      <c r="K26">
        <v>0</v>
      </c>
      <c r="L26" t="s">
        <v>68</v>
      </c>
      <c r="M26">
        <v>0</v>
      </c>
      <c r="N26" t="s">
        <v>7</v>
      </c>
      <c r="Q26">
        <v>0</v>
      </c>
      <c r="R26">
        <v>1</v>
      </c>
      <c r="S26">
        <v>74355.850316076801</v>
      </c>
      <c r="T26">
        <v>4.2328999999999999</v>
      </c>
      <c r="U26">
        <v>0</v>
      </c>
      <c r="V26">
        <v>0</v>
      </c>
      <c r="W26">
        <v>0</v>
      </c>
      <c r="X26">
        <v>1</v>
      </c>
      <c r="Y26" t="s">
        <v>99</v>
      </c>
      <c r="Z26">
        <v>0</v>
      </c>
      <c r="AA26">
        <v>0</v>
      </c>
      <c r="AB26">
        <v>0</v>
      </c>
      <c r="AC26">
        <v>0</v>
      </c>
      <c r="AD26">
        <v>1</v>
      </c>
      <c r="AE26">
        <v>0</v>
      </c>
      <c r="AH26">
        <v>1</v>
      </c>
      <c r="AI26">
        <v>1</v>
      </c>
      <c r="AJ26">
        <v>0</v>
      </c>
      <c r="AK26" t="s">
        <v>176</v>
      </c>
      <c r="AL26">
        <v>0.18809999999999999</v>
      </c>
      <c r="AM26" t="s">
        <v>139</v>
      </c>
      <c r="AN26">
        <v>9.9000000000000095E-3</v>
      </c>
      <c r="AO26" t="s">
        <v>184</v>
      </c>
      <c r="AP26">
        <v>0.45573999999999998</v>
      </c>
      <c r="BA26" t="s">
        <v>99</v>
      </c>
      <c r="BB26">
        <v>0</v>
      </c>
    </row>
    <row r="27" spans="1:54" x14ac:dyDescent="0.3">
      <c r="A27" t="s">
        <v>241</v>
      </c>
      <c r="B27" t="s">
        <v>187</v>
      </c>
      <c r="C27" t="s">
        <v>148</v>
      </c>
      <c r="E27" t="s">
        <v>242</v>
      </c>
      <c r="F27">
        <v>1</v>
      </c>
      <c r="G27" t="s">
        <v>68</v>
      </c>
      <c r="H27">
        <v>0</v>
      </c>
      <c r="I27">
        <v>20</v>
      </c>
      <c r="J27">
        <v>0</v>
      </c>
      <c r="K27">
        <v>0</v>
      </c>
      <c r="L27" t="s">
        <v>68</v>
      </c>
      <c r="M27">
        <v>0</v>
      </c>
      <c r="N27" t="s">
        <v>7</v>
      </c>
      <c r="Q27">
        <v>0</v>
      </c>
      <c r="R27">
        <v>1</v>
      </c>
      <c r="S27">
        <v>182470.11729253101</v>
      </c>
      <c r="T27">
        <v>2.6993</v>
      </c>
      <c r="U27">
        <v>0</v>
      </c>
      <c r="V27">
        <v>0</v>
      </c>
      <c r="W27">
        <v>0</v>
      </c>
      <c r="X27">
        <v>1</v>
      </c>
      <c r="Y27" t="s">
        <v>99</v>
      </c>
      <c r="Z27">
        <v>0</v>
      </c>
      <c r="AA27">
        <v>0</v>
      </c>
      <c r="AB27">
        <v>0</v>
      </c>
      <c r="AC27">
        <v>0</v>
      </c>
      <c r="AD27">
        <v>1</v>
      </c>
      <c r="AE27">
        <v>0</v>
      </c>
      <c r="AH27">
        <v>1</v>
      </c>
      <c r="AI27">
        <v>1</v>
      </c>
      <c r="AJ27">
        <v>0</v>
      </c>
      <c r="AL27">
        <v>1</v>
      </c>
      <c r="AN27">
        <v>1</v>
      </c>
      <c r="AO27" t="s">
        <v>139</v>
      </c>
      <c r="AP27">
        <v>-0.19800000000000001</v>
      </c>
      <c r="BA27" t="s">
        <v>99</v>
      </c>
      <c r="BB27">
        <v>0</v>
      </c>
    </row>
    <row r="28" spans="1:54" x14ac:dyDescent="0.3">
      <c r="A28" t="s">
        <v>243</v>
      </c>
      <c r="B28" t="s">
        <v>191</v>
      </c>
      <c r="C28" t="s">
        <v>189</v>
      </c>
      <c r="E28" t="s">
        <v>244</v>
      </c>
      <c r="F28">
        <v>0.94943601711396297</v>
      </c>
      <c r="G28" t="s">
        <v>68</v>
      </c>
      <c r="H28">
        <v>0</v>
      </c>
      <c r="I28" t="s">
        <v>7</v>
      </c>
      <c r="J28">
        <v>1000000</v>
      </c>
      <c r="K28">
        <v>0</v>
      </c>
      <c r="L28" t="s">
        <v>99</v>
      </c>
      <c r="M28">
        <v>0</v>
      </c>
      <c r="N28" t="s">
        <v>7</v>
      </c>
      <c r="Q28">
        <v>0</v>
      </c>
      <c r="R28">
        <v>1</v>
      </c>
      <c r="S28">
        <v>0</v>
      </c>
      <c r="T28">
        <v>0</v>
      </c>
      <c r="U28">
        <v>0</v>
      </c>
      <c r="V28">
        <v>0</v>
      </c>
      <c r="W28">
        <v>0</v>
      </c>
      <c r="X28">
        <v>1</v>
      </c>
      <c r="Y28" t="s">
        <v>99</v>
      </c>
      <c r="Z28">
        <v>0</v>
      </c>
      <c r="AA28">
        <v>0</v>
      </c>
      <c r="AB28">
        <v>0</v>
      </c>
      <c r="AC28">
        <v>0</v>
      </c>
      <c r="AD28">
        <v>1</v>
      </c>
      <c r="AE28">
        <v>0</v>
      </c>
      <c r="AH28">
        <v>1</v>
      </c>
      <c r="AI28">
        <v>1</v>
      </c>
      <c r="AJ28">
        <v>0</v>
      </c>
      <c r="AL28">
        <v>1</v>
      </c>
      <c r="AN28">
        <v>1</v>
      </c>
      <c r="AO28" t="s">
        <v>139</v>
      </c>
      <c r="AP28">
        <v>1.2999999999999999E-2</v>
      </c>
      <c r="AZ28" t="s">
        <v>138</v>
      </c>
      <c r="BA28" t="s">
        <v>99</v>
      </c>
      <c r="BB28">
        <v>0</v>
      </c>
    </row>
    <row r="29" spans="1:54" x14ac:dyDescent="0.3">
      <c r="A29" t="s">
        <v>245</v>
      </c>
      <c r="B29" t="s">
        <v>193</v>
      </c>
      <c r="C29" t="s">
        <v>58</v>
      </c>
      <c r="E29" t="s">
        <v>246</v>
      </c>
      <c r="F29">
        <v>0.43</v>
      </c>
      <c r="G29" t="s">
        <v>68</v>
      </c>
      <c r="H29">
        <v>0</v>
      </c>
      <c r="I29">
        <v>25</v>
      </c>
      <c r="J29">
        <v>0</v>
      </c>
      <c r="K29">
        <v>0</v>
      </c>
      <c r="L29" t="s">
        <v>68</v>
      </c>
      <c r="M29">
        <v>0</v>
      </c>
      <c r="N29" t="s">
        <v>7</v>
      </c>
      <c r="Q29">
        <v>0</v>
      </c>
      <c r="R29">
        <v>1</v>
      </c>
      <c r="S29">
        <v>19458.581797472601</v>
      </c>
      <c r="T29">
        <v>2.0476599999999898</v>
      </c>
      <c r="U29">
        <v>0</v>
      </c>
      <c r="V29">
        <v>0</v>
      </c>
      <c r="W29">
        <v>0</v>
      </c>
      <c r="X29">
        <v>1</v>
      </c>
      <c r="Y29" t="s">
        <v>99</v>
      </c>
      <c r="Z29">
        <v>0</v>
      </c>
      <c r="AA29">
        <v>0</v>
      </c>
      <c r="AB29">
        <v>0</v>
      </c>
      <c r="AC29">
        <v>0</v>
      </c>
      <c r="AD29">
        <v>1</v>
      </c>
      <c r="AE29">
        <v>0</v>
      </c>
      <c r="AH29">
        <v>1</v>
      </c>
      <c r="AI29">
        <v>1</v>
      </c>
      <c r="AJ29">
        <v>0</v>
      </c>
      <c r="AL29">
        <v>1</v>
      </c>
      <c r="AN29">
        <v>1</v>
      </c>
      <c r="AO29" t="s">
        <v>139</v>
      </c>
      <c r="AP29">
        <v>0.248</v>
      </c>
      <c r="BA29" t="s">
        <v>99</v>
      </c>
      <c r="BB29">
        <v>0</v>
      </c>
    </row>
    <row r="30" spans="1:54" x14ac:dyDescent="0.3">
      <c r="A30" t="s">
        <v>247</v>
      </c>
      <c r="B30" t="s">
        <v>193</v>
      </c>
      <c r="C30" t="s">
        <v>61</v>
      </c>
      <c r="E30" t="s">
        <v>246</v>
      </c>
      <c r="F30">
        <v>0.43</v>
      </c>
      <c r="G30" t="s">
        <v>68</v>
      </c>
      <c r="H30">
        <v>0</v>
      </c>
      <c r="I30">
        <v>25</v>
      </c>
      <c r="J30">
        <v>0</v>
      </c>
      <c r="K30">
        <v>0</v>
      </c>
      <c r="L30" t="s">
        <v>68</v>
      </c>
      <c r="M30">
        <v>0</v>
      </c>
      <c r="N30" t="s">
        <v>7</v>
      </c>
      <c r="Q30">
        <v>0</v>
      </c>
      <c r="R30">
        <v>1</v>
      </c>
      <c r="S30">
        <v>19458.581797472601</v>
      </c>
      <c r="T30">
        <v>2.0476599999999898</v>
      </c>
      <c r="U30">
        <v>0</v>
      </c>
      <c r="V30">
        <v>0</v>
      </c>
      <c r="W30">
        <v>0</v>
      </c>
      <c r="X30">
        <v>1</v>
      </c>
      <c r="Y30" t="s">
        <v>99</v>
      </c>
      <c r="Z30">
        <v>0</v>
      </c>
      <c r="AA30">
        <v>0</v>
      </c>
      <c r="AB30">
        <v>0</v>
      </c>
      <c r="AC30">
        <v>0</v>
      </c>
      <c r="AD30">
        <v>1</v>
      </c>
      <c r="AE30">
        <v>0</v>
      </c>
      <c r="AH30">
        <v>1</v>
      </c>
      <c r="AI30">
        <v>1</v>
      </c>
      <c r="AJ30">
        <v>0</v>
      </c>
      <c r="AL30">
        <v>1</v>
      </c>
      <c r="AN30">
        <v>1</v>
      </c>
      <c r="AO30" t="s">
        <v>139</v>
      </c>
      <c r="AP30">
        <v>0.248</v>
      </c>
      <c r="BA30" t="s">
        <v>99</v>
      </c>
      <c r="BB30">
        <v>0</v>
      </c>
    </row>
    <row r="31" spans="1:54" x14ac:dyDescent="0.3">
      <c r="A31" t="s">
        <v>194</v>
      </c>
      <c r="B31" t="s">
        <v>148</v>
      </c>
      <c r="C31" t="s">
        <v>194</v>
      </c>
      <c r="E31" t="s">
        <v>194</v>
      </c>
      <c r="F31">
        <v>1</v>
      </c>
      <c r="G31" t="s">
        <v>68</v>
      </c>
      <c r="H31">
        <v>0</v>
      </c>
      <c r="I31" t="s">
        <v>7</v>
      </c>
      <c r="J31">
        <v>0</v>
      </c>
      <c r="K31">
        <v>0</v>
      </c>
      <c r="L31" t="s">
        <v>68</v>
      </c>
      <c r="M31">
        <v>0</v>
      </c>
      <c r="N31" t="s">
        <v>7</v>
      </c>
      <c r="Q31">
        <v>0</v>
      </c>
      <c r="R31">
        <v>1</v>
      </c>
      <c r="S31">
        <v>0</v>
      </c>
      <c r="T31">
        <v>0</v>
      </c>
      <c r="U31">
        <v>0</v>
      </c>
      <c r="V31">
        <v>0</v>
      </c>
      <c r="W31">
        <v>0</v>
      </c>
      <c r="X31">
        <v>1</v>
      </c>
      <c r="Y31" t="s">
        <v>99</v>
      </c>
      <c r="Z31">
        <v>0</v>
      </c>
      <c r="AA31">
        <v>0</v>
      </c>
      <c r="AB31">
        <v>0</v>
      </c>
      <c r="AC31">
        <v>0</v>
      </c>
      <c r="AD31">
        <v>1</v>
      </c>
      <c r="AE31">
        <v>0</v>
      </c>
      <c r="AH31">
        <v>1</v>
      </c>
      <c r="AI31">
        <v>1</v>
      </c>
      <c r="AJ31">
        <v>0</v>
      </c>
      <c r="AL31">
        <v>1</v>
      </c>
      <c r="AN31">
        <v>1</v>
      </c>
      <c r="AO31" t="s">
        <v>139</v>
      </c>
      <c r="AP31">
        <v>0.19800000000000001</v>
      </c>
      <c r="BA31" t="s">
        <v>99</v>
      </c>
      <c r="BB31">
        <v>0</v>
      </c>
    </row>
    <row r="32" spans="1:54" x14ac:dyDescent="0.3">
      <c r="A32" t="s">
        <v>248</v>
      </c>
      <c r="B32" t="s">
        <v>148</v>
      </c>
      <c r="C32" t="s">
        <v>194</v>
      </c>
      <c r="E32" t="s">
        <v>249</v>
      </c>
      <c r="F32">
        <v>0.9</v>
      </c>
      <c r="G32" t="s">
        <v>68</v>
      </c>
      <c r="H32">
        <v>0</v>
      </c>
      <c r="I32">
        <v>25</v>
      </c>
      <c r="J32">
        <v>0</v>
      </c>
      <c r="K32">
        <v>0</v>
      </c>
      <c r="L32" t="s">
        <v>68</v>
      </c>
      <c r="M32">
        <v>0</v>
      </c>
      <c r="N32" t="s">
        <v>7</v>
      </c>
      <c r="Q32">
        <v>0</v>
      </c>
      <c r="R32">
        <v>1</v>
      </c>
      <c r="S32">
        <v>41274.868337445201</v>
      </c>
      <c r="T32">
        <v>0</v>
      </c>
      <c r="U32">
        <v>0</v>
      </c>
      <c r="V32">
        <v>0</v>
      </c>
      <c r="W32">
        <v>0</v>
      </c>
      <c r="X32">
        <v>1</v>
      </c>
      <c r="Y32" t="s">
        <v>99</v>
      </c>
      <c r="Z32">
        <v>0</v>
      </c>
      <c r="AA32">
        <v>0</v>
      </c>
      <c r="AB32">
        <v>0</v>
      </c>
      <c r="AC32">
        <v>0</v>
      </c>
      <c r="AD32">
        <v>1</v>
      </c>
      <c r="AE32">
        <v>0</v>
      </c>
      <c r="AH32">
        <v>1</v>
      </c>
      <c r="AI32">
        <v>1</v>
      </c>
      <c r="AJ32">
        <v>0</v>
      </c>
      <c r="AL32">
        <v>1</v>
      </c>
      <c r="AM32" t="s">
        <v>175</v>
      </c>
      <c r="AN32">
        <v>0.18809999999999999</v>
      </c>
      <c r="AO32" t="s">
        <v>139</v>
      </c>
      <c r="AP32">
        <v>9.9000000000000095E-3</v>
      </c>
      <c r="BA32" t="s">
        <v>99</v>
      </c>
      <c r="BB32">
        <v>0</v>
      </c>
    </row>
    <row r="33" spans="1:54" x14ac:dyDescent="0.3">
      <c r="A33" t="s">
        <v>250</v>
      </c>
      <c r="B33" t="s">
        <v>148</v>
      </c>
      <c r="C33" t="s">
        <v>194</v>
      </c>
      <c r="E33" t="s">
        <v>249</v>
      </c>
      <c r="F33">
        <v>0.9</v>
      </c>
      <c r="G33" t="s">
        <v>68</v>
      </c>
      <c r="H33">
        <v>0</v>
      </c>
      <c r="I33">
        <v>25</v>
      </c>
      <c r="J33">
        <v>0</v>
      </c>
      <c r="K33">
        <v>0</v>
      </c>
      <c r="L33" t="s">
        <v>68</v>
      </c>
      <c r="M33">
        <v>0</v>
      </c>
      <c r="N33" t="s">
        <v>7</v>
      </c>
      <c r="Q33">
        <v>0</v>
      </c>
      <c r="R33">
        <v>1</v>
      </c>
      <c r="S33">
        <v>41274.868337445201</v>
      </c>
      <c r="T33">
        <v>0</v>
      </c>
      <c r="U33">
        <v>0</v>
      </c>
      <c r="V33">
        <v>0</v>
      </c>
      <c r="W33">
        <v>0</v>
      </c>
      <c r="X33">
        <v>1</v>
      </c>
      <c r="Y33" t="s">
        <v>99</v>
      </c>
      <c r="Z33">
        <v>0</v>
      </c>
      <c r="AA33">
        <v>0</v>
      </c>
      <c r="AB33">
        <v>0</v>
      </c>
      <c r="AC33">
        <v>0</v>
      </c>
      <c r="AD33">
        <v>1</v>
      </c>
      <c r="AE33">
        <v>0</v>
      </c>
      <c r="AH33">
        <v>1</v>
      </c>
      <c r="AI33">
        <v>1</v>
      </c>
      <c r="AJ33">
        <v>0</v>
      </c>
      <c r="AL33">
        <v>1</v>
      </c>
      <c r="AM33" t="s">
        <v>176</v>
      </c>
      <c r="AN33">
        <v>0.18809999999999999</v>
      </c>
      <c r="AO33" t="s">
        <v>139</v>
      </c>
      <c r="AP33">
        <v>9.9000000000000095E-3</v>
      </c>
      <c r="BA33" t="s">
        <v>99</v>
      </c>
      <c r="BB33">
        <v>0</v>
      </c>
    </row>
    <row r="34" spans="1:54" x14ac:dyDescent="0.3">
      <c r="A34" t="s">
        <v>195</v>
      </c>
      <c r="B34" t="s">
        <v>193</v>
      </c>
      <c r="C34" t="s">
        <v>195</v>
      </c>
      <c r="E34" t="s">
        <v>196</v>
      </c>
      <c r="F34">
        <v>1</v>
      </c>
      <c r="G34" t="s">
        <v>68</v>
      </c>
      <c r="H34">
        <v>0</v>
      </c>
      <c r="I34" t="s">
        <v>7</v>
      </c>
      <c r="J34">
        <v>0</v>
      </c>
      <c r="K34">
        <v>0</v>
      </c>
      <c r="L34" t="s">
        <v>68</v>
      </c>
      <c r="M34">
        <v>0</v>
      </c>
      <c r="N34" t="s">
        <v>7</v>
      </c>
      <c r="Q34">
        <v>0</v>
      </c>
      <c r="R34">
        <v>1</v>
      </c>
      <c r="S34">
        <v>0</v>
      </c>
      <c r="T34">
        <v>0</v>
      </c>
      <c r="U34">
        <v>0</v>
      </c>
      <c r="V34">
        <v>0</v>
      </c>
      <c r="W34">
        <v>0</v>
      </c>
      <c r="X34">
        <v>1</v>
      </c>
      <c r="Y34" t="s">
        <v>99</v>
      </c>
      <c r="Z34">
        <v>0</v>
      </c>
      <c r="AA34">
        <v>0</v>
      </c>
      <c r="AB34">
        <v>0</v>
      </c>
      <c r="AC34">
        <v>0</v>
      </c>
      <c r="AD34">
        <v>1</v>
      </c>
      <c r="AE34">
        <v>0</v>
      </c>
      <c r="AH34">
        <v>1</v>
      </c>
      <c r="AI34">
        <v>1</v>
      </c>
      <c r="AJ34">
        <v>0</v>
      </c>
      <c r="AL34">
        <v>1</v>
      </c>
      <c r="AN34">
        <v>1</v>
      </c>
      <c r="AO34" t="s">
        <v>139</v>
      </c>
      <c r="AP34">
        <v>0.24800972198110099</v>
      </c>
      <c r="BA34" t="s">
        <v>99</v>
      </c>
      <c r="BB34">
        <v>0</v>
      </c>
    </row>
    <row r="35" spans="1:54" x14ac:dyDescent="0.3">
      <c r="A35" t="s">
        <v>251</v>
      </c>
      <c r="B35" t="s">
        <v>179</v>
      </c>
      <c r="C35" t="s">
        <v>193</v>
      </c>
      <c r="E35" t="s">
        <v>252</v>
      </c>
      <c r="F35">
        <v>0.87870000000000004</v>
      </c>
      <c r="G35" t="s">
        <v>68</v>
      </c>
      <c r="H35">
        <v>0</v>
      </c>
      <c r="I35">
        <v>20</v>
      </c>
      <c r="J35">
        <v>0</v>
      </c>
      <c r="K35">
        <v>0</v>
      </c>
      <c r="L35" t="s">
        <v>68</v>
      </c>
      <c r="M35">
        <v>0</v>
      </c>
      <c r="N35" t="s">
        <v>7</v>
      </c>
      <c r="Q35">
        <v>0.3</v>
      </c>
      <c r="R35">
        <v>1</v>
      </c>
      <c r="S35">
        <v>56809.571943766801</v>
      </c>
      <c r="T35">
        <v>0</v>
      </c>
      <c r="U35">
        <v>0</v>
      </c>
      <c r="V35">
        <v>0</v>
      </c>
      <c r="W35">
        <v>0</v>
      </c>
      <c r="X35">
        <v>1</v>
      </c>
      <c r="Y35" t="s">
        <v>99</v>
      </c>
      <c r="Z35">
        <v>0</v>
      </c>
      <c r="AA35">
        <v>0</v>
      </c>
      <c r="AB35">
        <v>0</v>
      </c>
      <c r="AC35">
        <v>0</v>
      </c>
      <c r="AD35">
        <v>1</v>
      </c>
      <c r="AE35">
        <v>0</v>
      </c>
      <c r="AH35">
        <v>1</v>
      </c>
      <c r="AI35">
        <v>1</v>
      </c>
      <c r="AJ35">
        <v>0</v>
      </c>
      <c r="AK35" t="s">
        <v>181</v>
      </c>
      <c r="AL35">
        <v>2.1968365553602799E-2</v>
      </c>
      <c r="AM35" t="s">
        <v>175</v>
      </c>
      <c r="AN35">
        <v>-0.21792614270479399</v>
      </c>
      <c r="AO35" t="s">
        <v>58</v>
      </c>
      <c r="AP35">
        <v>-0.23808491614056901</v>
      </c>
      <c r="BA35" t="s">
        <v>99</v>
      </c>
      <c r="BB35">
        <v>0</v>
      </c>
    </row>
    <row r="36" spans="1:54" x14ac:dyDescent="0.3">
      <c r="A36" t="s">
        <v>253</v>
      </c>
      <c r="B36" t="s">
        <v>180</v>
      </c>
      <c r="C36" t="s">
        <v>193</v>
      </c>
      <c r="E36" t="s">
        <v>252</v>
      </c>
      <c r="F36">
        <v>0.87870000000000004</v>
      </c>
      <c r="G36" t="s">
        <v>68</v>
      </c>
      <c r="H36">
        <v>0</v>
      </c>
      <c r="I36">
        <v>20</v>
      </c>
      <c r="J36">
        <v>0</v>
      </c>
      <c r="K36">
        <v>0</v>
      </c>
      <c r="L36" t="s">
        <v>68</v>
      </c>
      <c r="M36">
        <v>0</v>
      </c>
      <c r="N36" t="s">
        <v>7</v>
      </c>
      <c r="Q36">
        <v>0.3</v>
      </c>
      <c r="R36">
        <v>1</v>
      </c>
      <c r="S36">
        <v>56809.571943766801</v>
      </c>
      <c r="T36">
        <v>0</v>
      </c>
      <c r="U36">
        <v>0</v>
      </c>
      <c r="V36">
        <v>0</v>
      </c>
      <c r="W36">
        <v>0</v>
      </c>
      <c r="X36">
        <v>1</v>
      </c>
      <c r="Y36" t="s">
        <v>99</v>
      </c>
      <c r="Z36">
        <v>0</v>
      </c>
      <c r="AA36">
        <v>0</v>
      </c>
      <c r="AB36">
        <v>0</v>
      </c>
      <c r="AC36">
        <v>0</v>
      </c>
      <c r="AD36">
        <v>1</v>
      </c>
      <c r="AE36">
        <v>0</v>
      </c>
      <c r="AH36">
        <v>1</v>
      </c>
      <c r="AI36">
        <v>1</v>
      </c>
      <c r="AJ36">
        <v>0</v>
      </c>
      <c r="AK36" t="s">
        <v>184</v>
      </c>
      <c r="AL36">
        <v>2.1968365553602799E-2</v>
      </c>
      <c r="AM36" t="s">
        <v>176</v>
      </c>
      <c r="AN36">
        <v>-0.21792614270479399</v>
      </c>
      <c r="AO36" t="s">
        <v>61</v>
      </c>
      <c r="AP36">
        <v>-0.23808491614056901</v>
      </c>
      <c r="BA36" t="s">
        <v>99</v>
      </c>
      <c r="BB36">
        <v>0</v>
      </c>
    </row>
    <row r="37" spans="1:54" x14ac:dyDescent="0.3">
      <c r="A37" t="s">
        <v>254</v>
      </c>
      <c r="B37" t="s">
        <v>179</v>
      </c>
      <c r="C37" t="s">
        <v>189</v>
      </c>
      <c r="E37" t="s">
        <v>255</v>
      </c>
      <c r="F37">
        <v>0.79900000000000004</v>
      </c>
      <c r="G37" t="s">
        <v>68</v>
      </c>
      <c r="H37">
        <v>0</v>
      </c>
      <c r="I37">
        <v>20</v>
      </c>
      <c r="J37">
        <v>0</v>
      </c>
      <c r="K37">
        <v>0</v>
      </c>
      <c r="L37" t="s">
        <v>68</v>
      </c>
      <c r="M37">
        <v>0</v>
      </c>
      <c r="N37" t="s">
        <v>7</v>
      </c>
      <c r="Q37">
        <v>0.5</v>
      </c>
      <c r="R37">
        <v>1</v>
      </c>
      <c r="S37">
        <v>51656.820283452398</v>
      </c>
      <c r="T37">
        <v>1.7842469000000001</v>
      </c>
      <c r="U37">
        <v>0</v>
      </c>
      <c r="V37">
        <v>0</v>
      </c>
      <c r="W37">
        <v>0</v>
      </c>
      <c r="X37">
        <v>1</v>
      </c>
      <c r="Y37" t="s">
        <v>99</v>
      </c>
      <c r="Z37">
        <v>0</v>
      </c>
      <c r="AA37">
        <v>0</v>
      </c>
      <c r="AB37">
        <v>0</v>
      </c>
      <c r="AC37">
        <v>0</v>
      </c>
      <c r="AD37">
        <v>1</v>
      </c>
      <c r="AE37">
        <v>0</v>
      </c>
      <c r="AH37">
        <v>1</v>
      </c>
      <c r="AI37">
        <v>1</v>
      </c>
      <c r="AJ37">
        <v>0</v>
      </c>
      <c r="AL37">
        <v>1</v>
      </c>
      <c r="AM37" t="s">
        <v>181</v>
      </c>
      <c r="AN37">
        <v>3.7749999999999902E-2</v>
      </c>
      <c r="AO37" t="s">
        <v>175</v>
      </c>
      <c r="AP37">
        <v>-0.20542289999999999</v>
      </c>
      <c r="BA37" t="s">
        <v>99</v>
      </c>
      <c r="BB37">
        <v>0</v>
      </c>
    </row>
    <row r="38" spans="1:54" x14ac:dyDescent="0.3">
      <c r="A38" t="s">
        <v>256</v>
      </c>
      <c r="B38" t="s">
        <v>180</v>
      </c>
      <c r="C38" t="s">
        <v>189</v>
      </c>
      <c r="E38" t="s">
        <v>255</v>
      </c>
      <c r="F38">
        <v>0.79900000000000004</v>
      </c>
      <c r="G38" t="s">
        <v>68</v>
      </c>
      <c r="H38">
        <v>0</v>
      </c>
      <c r="I38">
        <v>20</v>
      </c>
      <c r="J38">
        <v>0</v>
      </c>
      <c r="K38">
        <v>0</v>
      </c>
      <c r="L38" t="s">
        <v>68</v>
      </c>
      <c r="M38">
        <v>0</v>
      </c>
      <c r="N38" t="s">
        <v>7</v>
      </c>
      <c r="Q38">
        <v>0.5</v>
      </c>
      <c r="R38">
        <v>1</v>
      </c>
      <c r="S38">
        <v>51656.820283452398</v>
      </c>
      <c r="T38">
        <v>1.7842469000000001</v>
      </c>
      <c r="U38">
        <v>0</v>
      </c>
      <c r="V38">
        <v>0</v>
      </c>
      <c r="W38">
        <v>0</v>
      </c>
      <c r="X38">
        <v>1</v>
      </c>
      <c r="Y38" t="s">
        <v>99</v>
      </c>
      <c r="Z38">
        <v>0</v>
      </c>
      <c r="AA38">
        <v>0</v>
      </c>
      <c r="AB38">
        <v>0</v>
      </c>
      <c r="AC38">
        <v>0</v>
      </c>
      <c r="AD38">
        <v>1</v>
      </c>
      <c r="AE38">
        <v>0</v>
      </c>
      <c r="AH38">
        <v>1</v>
      </c>
      <c r="AI38">
        <v>1</v>
      </c>
      <c r="AJ38">
        <v>0</v>
      </c>
      <c r="AL38">
        <v>1</v>
      </c>
      <c r="AM38" t="s">
        <v>184</v>
      </c>
      <c r="AN38">
        <v>3.7749999999999902E-2</v>
      </c>
      <c r="AO38" t="s">
        <v>176</v>
      </c>
      <c r="AP38">
        <v>-0.20542289999999999</v>
      </c>
      <c r="BA38" t="s">
        <v>99</v>
      </c>
      <c r="BB38">
        <v>0</v>
      </c>
    </row>
    <row r="39" spans="1:54" x14ac:dyDescent="0.3">
      <c r="A39" t="s">
        <v>257</v>
      </c>
      <c r="B39" t="s">
        <v>197</v>
      </c>
      <c r="C39" t="s">
        <v>139</v>
      </c>
      <c r="E39" t="s">
        <v>258</v>
      </c>
      <c r="F39">
        <v>0.2571</v>
      </c>
      <c r="G39" t="s">
        <v>68</v>
      </c>
      <c r="H39">
        <v>0</v>
      </c>
      <c r="I39" t="s">
        <v>7</v>
      </c>
      <c r="J39">
        <v>0</v>
      </c>
      <c r="K39">
        <v>0</v>
      </c>
      <c r="L39" t="s">
        <v>68</v>
      </c>
      <c r="M39">
        <v>0</v>
      </c>
      <c r="N39" t="s">
        <v>7</v>
      </c>
      <c r="Q39">
        <v>0</v>
      </c>
      <c r="R39">
        <v>1</v>
      </c>
      <c r="S39">
        <v>0</v>
      </c>
      <c r="T39">
        <v>0</v>
      </c>
      <c r="U39">
        <v>0</v>
      </c>
      <c r="V39">
        <v>0</v>
      </c>
      <c r="W39">
        <v>0</v>
      </c>
      <c r="X39">
        <v>1</v>
      </c>
      <c r="Y39" t="s">
        <v>99</v>
      </c>
      <c r="Z39">
        <v>0</v>
      </c>
      <c r="AA39">
        <v>0</v>
      </c>
      <c r="AB39">
        <v>0</v>
      </c>
      <c r="AC39">
        <v>0</v>
      </c>
      <c r="AD39">
        <v>1</v>
      </c>
      <c r="AE39">
        <v>0</v>
      </c>
      <c r="AH39">
        <v>1</v>
      </c>
      <c r="AI39">
        <v>1</v>
      </c>
      <c r="AJ39">
        <v>0</v>
      </c>
      <c r="AL39">
        <v>1</v>
      </c>
      <c r="AN39">
        <v>1</v>
      </c>
      <c r="AP39">
        <v>1</v>
      </c>
      <c r="BA39" t="s">
        <v>99</v>
      </c>
      <c r="BB39">
        <v>0</v>
      </c>
    </row>
    <row r="40" spans="1:54" x14ac:dyDescent="0.3">
      <c r="A40" t="s">
        <v>259</v>
      </c>
      <c r="B40" t="s">
        <v>199</v>
      </c>
      <c r="C40" t="s">
        <v>139</v>
      </c>
      <c r="E40" t="s">
        <v>258</v>
      </c>
      <c r="F40">
        <v>0.2571</v>
      </c>
      <c r="G40" t="s">
        <v>68</v>
      </c>
      <c r="H40">
        <v>0</v>
      </c>
      <c r="I40" t="s">
        <v>7</v>
      </c>
      <c r="J40">
        <v>0</v>
      </c>
      <c r="K40">
        <v>0</v>
      </c>
      <c r="L40" t="s">
        <v>68</v>
      </c>
      <c r="M40">
        <v>0</v>
      </c>
      <c r="N40" t="s">
        <v>7</v>
      </c>
      <c r="Q40">
        <v>0</v>
      </c>
      <c r="R40">
        <v>1</v>
      </c>
      <c r="S40">
        <v>0</v>
      </c>
      <c r="T40">
        <v>0</v>
      </c>
      <c r="U40">
        <v>0</v>
      </c>
      <c r="V40">
        <v>0</v>
      </c>
      <c r="W40">
        <v>0</v>
      </c>
      <c r="X40">
        <v>1</v>
      </c>
      <c r="Y40" t="s">
        <v>99</v>
      </c>
      <c r="Z40">
        <v>0</v>
      </c>
      <c r="AA40">
        <v>0</v>
      </c>
      <c r="AB40">
        <v>0</v>
      </c>
      <c r="AC40">
        <v>0</v>
      </c>
      <c r="AD40">
        <v>1</v>
      </c>
      <c r="AE40">
        <v>0</v>
      </c>
      <c r="AH40">
        <v>1</v>
      </c>
      <c r="AI40">
        <v>1</v>
      </c>
      <c r="AJ40">
        <v>0</v>
      </c>
      <c r="AL40">
        <v>1</v>
      </c>
      <c r="AN40">
        <v>1</v>
      </c>
      <c r="AP40">
        <v>1</v>
      </c>
      <c r="BA40" t="s">
        <v>99</v>
      </c>
      <c r="BB40">
        <v>0</v>
      </c>
    </row>
    <row r="41" spans="1:54" x14ac:dyDescent="0.3">
      <c r="A41" t="s">
        <v>200</v>
      </c>
      <c r="B41" t="s">
        <v>200</v>
      </c>
      <c r="C41" t="s">
        <v>139</v>
      </c>
      <c r="E41" t="s">
        <v>201</v>
      </c>
      <c r="F41">
        <v>1</v>
      </c>
      <c r="G41" t="s">
        <v>68</v>
      </c>
      <c r="H41">
        <v>0</v>
      </c>
      <c r="I41" t="s">
        <v>7</v>
      </c>
      <c r="J41">
        <v>0</v>
      </c>
      <c r="K41">
        <v>0</v>
      </c>
      <c r="L41" t="s">
        <v>68</v>
      </c>
      <c r="M41">
        <v>0</v>
      </c>
      <c r="N41" t="s">
        <v>7</v>
      </c>
      <c r="Q41">
        <v>0</v>
      </c>
      <c r="R41">
        <v>1</v>
      </c>
      <c r="S41">
        <v>0</v>
      </c>
      <c r="T41">
        <v>0</v>
      </c>
      <c r="U41">
        <v>0</v>
      </c>
      <c r="V41">
        <v>0</v>
      </c>
      <c r="W41">
        <v>0</v>
      </c>
      <c r="X41">
        <v>1</v>
      </c>
      <c r="Y41" t="s">
        <v>99</v>
      </c>
      <c r="Z41">
        <v>0</v>
      </c>
      <c r="AA41">
        <v>0</v>
      </c>
      <c r="AB41">
        <v>0</v>
      </c>
      <c r="AC41">
        <v>0</v>
      </c>
      <c r="AD41">
        <v>1</v>
      </c>
      <c r="AE41">
        <v>0</v>
      </c>
      <c r="AH41">
        <v>1</v>
      </c>
      <c r="AI41">
        <v>1</v>
      </c>
      <c r="AJ41">
        <v>0</v>
      </c>
      <c r="AL41">
        <v>1</v>
      </c>
      <c r="AN41">
        <v>1</v>
      </c>
      <c r="AP41">
        <v>1</v>
      </c>
      <c r="BA41" t="s">
        <v>99</v>
      </c>
      <c r="BB41">
        <v>0</v>
      </c>
    </row>
    <row r="42" spans="1:54" x14ac:dyDescent="0.3">
      <c r="A42" t="s">
        <v>202</v>
      </c>
      <c r="B42" t="s">
        <v>202</v>
      </c>
      <c r="C42" t="s">
        <v>139</v>
      </c>
      <c r="E42" t="s">
        <v>201</v>
      </c>
      <c r="F42">
        <v>1</v>
      </c>
      <c r="G42" t="s">
        <v>68</v>
      </c>
      <c r="H42">
        <v>0</v>
      </c>
      <c r="I42" t="s">
        <v>7</v>
      </c>
      <c r="J42">
        <v>0</v>
      </c>
      <c r="K42">
        <v>0</v>
      </c>
      <c r="L42" t="s">
        <v>68</v>
      </c>
      <c r="M42">
        <v>0</v>
      </c>
      <c r="N42" t="s">
        <v>7</v>
      </c>
      <c r="Q42">
        <v>0</v>
      </c>
      <c r="R42">
        <v>1</v>
      </c>
      <c r="S42">
        <v>0</v>
      </c>
      <c r="T42">
        <v>0</v>
      </c>
      <c r="U42">
        <v>0</v>
      </c>
      <c r="V42">
        <v>0</v>
      </c>
      <c r="W42">
        <v>0</v>
      </c>
      <c r="X42">
        <v>1</v>
      </c>
      <c r="Y42" t="s">
        <v>99</v>
      </c>
      <c r="Z42">
        <v>0</v>
      </c>
      <c r="AA42">
        <v>0</v>
      </c>
      <c r="AB42">
        <v>0</v>
      </c>
      <c r="AC42">
        <v>0</v>
      </c>
      <c r="AD42">
        <v>1</v>
      </c>
      <c r="AE42">
        <v>0</v>
      </c>
      <c r="AH42">
        <v>1</v>
      </c>
      <c r="AI42">
        <v>1</v>
      </c>
      <c r="AJ42">
        <v>0</v>
      </c>
      <c r="AL42">
        <v>1</v>
      </c>
      <c r="AN42">
        <v>1</v>
      </c>
      <c r="AP42">
        <v>1</v>
      </c>
      <c r="BA42" t="s">
        <v>99</v>
      </c>
      <c r="BB42">
        <v>0</v>
      </c>
    </row>
    <row r="43" spans="1:54" x14ac:dyDescent="0.3">
      <c r="A43" t="s">
        <v>260</v>
      </c>
      <c r="B43" t="s">
        <v>200</v>
      </c>
      <c r="C43" t="s">
        <v>139</v>
      </c>
      <c r="E43" t="s">
        <v>261</v>
      </c>
      <c r="F43">
        <v>0.05</v>
      </c>
      <c r="G43" t="s">
        <v>68</v>
      </c>
      <c r="H43">
        <v>0</v>
      </c>
      <c r="I43">
        <v>25</v>
      </c>
      <c r="J43">
        <v>0</v>
      </c>
      <c r="K43">
        <v>0</v>
      </c>
      <c r="L43" t="s">
        <v>68</v>
      </c>
      <c r="M43">
        <v>0</v>
      </c>
      <c r="N43" t="s">
        <v>7</v>
      </c>
      <c r="Q43">
        <v>0</v>
      </c>
      <c r="R43">
        <v>1</v>
      </c>
      <c r="S43">
        <v>208458.93099719801</v>
      </c>
      <c r="T43">
        <v>0</v>
      </c>
      <c r="U43">
        <v>0</v>
      </c>
      <c r="V43">
        <v>0</v>
      </c>
      <c r="W43">
        <v>0</v>
      </c>
      <c r="X43">
        <v>1</v>
      </c>
      <c r="Y43" t="s">
        <v>99</v>
      </c>
      <c r="Z43">
        <v>0</v>
      </c>
      <c r="AA43">
        <v>0</v>
      </c>
      <c r="AB43">
        <v>0</v>
      </c>
      <c r="AC43">
        <v>0</v>
      </c>
      <c r="AD43">
        <v>1</v>
      </c>
      <c r="AE43">
        <v>0</v>
      </c>
      <c r="AH43">
        <v>1</v>
      </c>
      <c r="AI43">
        <v>1</v>
      </c>
      <c r="AJ43">
        <v>0</v>
      </c>
      <c r="AL43">
        <v>1</v>
      </c>
      <c r="AN43">
        <v>1</v>
      </c>
      <c r="AO43" t="s">
        <v>175</v>
      </c>
      <c r="AP43">
        <v>0.95</v>
      </c>
      <c r="BA43" t="s">
        <v>99</v>
      </c>
      <c r="BB43">
        <v>0</v>
      </c>
    </row>
    <row r="44" spans="1:54" x14ac:dyDescent="0.3">
      <c r="A44" t="s">
        <v>262</v>
      </c>
      <c r="B44" t="s">
        <v>202</v>
      </c>
      <c r="C44" t="s">
        <v>139</v>
      </c>
      <c r="E44" t="s">
        <v>261</v>
      </c>
      <c r="F44">
        <v>0.05</v>
      </c>
      <c r="G44" t="s">
        <v>68</v>
      </c>
      <c r="H44">
        <v>0</v>
      </c>
      <c r="I44">
        <v>25</v>
      </c>
      <c r="J44">
        <v>0</v>
      </c>
      <c r="K44">
        <v>0</v>
      </c>
      <c r="L44" t="s">
        <v>68</v>
      </c>
      <c r="M44">
        <v>0</v>
      </c>
      <c r="N44" t="s">
        <v>7</v>
      </c>
      <c r="Q44">
        <v>0</v>
      </c>
      <c r="R44">
        <v>1</v>
      </c>
      <c r="S44">
        <v>208458.93099719801</v>
      </c>
      <c r="T44">
        <v>0</v>
      </c>
      <c r="U44">
        <v>0</v>
      </c>
      <c r="V44">
        <v>0</v>
      </c>
      <c r="W44">
        <v>0</v>
      </c>
      <c r="X44">
        <v>1</v>
      </c>
      <c r="Y44" t="s">
        <v>99</v>
      </c>
      <c r="Z44">
        <v>0</v>
      </c>
      <c r="AA44">
        <v>0</v>
      </c>
      <c r="AB44">
        <v>0</v>
      </c>
      <c r="AC44">
        <v>0</v>
      </c>
      <c r="AD44">
        <v>1</v>
      </c>
      <c r="AE44">
        <v>0</v>
      </c>
      <c r="AH44">
        <v>1</v>
      </c>
      <c r="AI44">
        <v>1</v>
      </c>
      <c r="AJ44">
        <v>0</v>
      </c>
      <c r="AL44">
        <v>1</v>
      </c>
      <c r="AN44">
        <v>1</v>
      </c>
      <c r="AO44" t="s">
        <v>176</v>
      </c>
      <c r="AP44">
        <v>0.95</v>
      </c>
      <c r="BA44" t="s">
        <v>99</v>
      </c>
      <c r="BB44">
        <v>0</v>
      </c>
    </row>
    <row r="45" spans="1:54" x14ac:dyDescent="0.3">
      <c r="A45" t="s">
        <v>203</v>
      </c>
      <c r="B45" t="s">
        <v>193</v>
      </c>
      <c r="C45" t="s">
        <v>203</v>
      </c>
      <c r="E45" t="s">
        <v>204</v>
      </c>
      <c r="F45">
        <v>1</v>
      </c>
      <c r="G45" t="s">
        <v>68</v>
      </c>
      <c r="H45">
        <v>0</v>
      </c>
      <c r="I45" t="s">
        <v>7</v>
      </c>
      <c r="J45">
        <v>0</v>
      </c>
      <c r="K45">
        <v>0</v>
      </c>
      <c r="L45" t="s">
        <v>68</v>
      </c>
      <c r="M45">
        <v>0</v>
      </c>
      <c r="N45" t="s">
        <v>7</v>
      </c>
      <c r="Q45">
        <v>0</v>
      </c>
      <c r="R45">
        <v>1</v>
      </c>
      <c r="S45">
        <v>0</v>
      </c>
      <c r="T45">
        <v>0</v>
      </c>
      <c r="U45">
        <v>0</v>
      </c>
      <c r="V45">
        <v>0</v>
      </c>
      <c r="W45">
        <v>0</v>
      </c>
      <c r="X45">
        <v>1</v>
      </c>
      <c r="Y45" t="s">
        <v>99</v>
      </c>
      <c r="Z45">
        <v>0</v>
      </c>
      <c r="AA45">
        <v>0</v>
      </c>
      <c r="AB45">
        <v>0</v>
      </c>
      <c r="AC45">
        <v>0</v>
      </c>
      <c r="AD45">
        <v>1</v>
      </c>
      <c r="AE45">
        <v>0</v>
      </c>
      <c r="AH45">
        <v>1</v>
      </c>
      <c r="AI45">
        <v>1</v>
      </c>
      <c r="AJ45">
        <v>0</v>
      </c>
      <c r="AL45">
        <v>1</v>
      </c>
      <c r="AN45">
        <v>1</v>
      </c>
      <c r="AO45" t="s">
        <v>139</v>
      </c>
      <c r="AP45">
        <v>0.24800972198110099</v>
      </c>
      <c r="BA45" t="s">
        <v>99</v>
      </c>
      <c r="BB45">
        <v>0</v>
      </c>
    </row>
    <row r="46" spans="1:54" x14ac:dyDescent="0.3">
      <c r="A46" t="s">
        <v>263</v>
      </c>
      <c r="B46" t="s">
        <v>58</v>
      </c>
      <c r="C46" t="s">
        <v>181</v>
      </c>
      <c r="E46" t="s">
        <v>264</v>
      </c>
      <c r="F46">
        <v>-2.5454545454545401</v>
      </c>
      <c r="G46" t="s">
        <v>68</v>
      </c>
      <c r="H46">
        <v>0</v>
      </c>
      <c r="I46">
        <v>20</v>
      </c>
      <c r="J46">
        <v>0</v>
      </c>
      <c r="K46">
        <v>0</v>
      </c>
      <c r="L46" t="s">
        <v>68</v>
      </c>
      <c r="M46">
        <v>0</v>
      </c>
      <c r="N46" t="s">
        <v>7</v>
      </c>
      <c r="Q46">
        <v>0</v>
      </c>
      <c r="R46">
        <v>1</v>
      </c>
      <c r="S46">
        <v>1046494.0054054901</v>
      </c>
      <c r="T46">
        <v>0</v>
      </c>
      <c r="U46">
        <v>0</v>
      </c>
      <c r="V46">
        <v>0</v>
      </c>
      <c r="W46">
        <v>0</v>
      </c>
      <c r="X46">
        <v>1</v>
      </c>
      <c r="Y46" t="s">
        <v>99</v>
      </c>
      <c r="Z46">
        <v>0</v>
      </c>
      <c r="AA46">
        <v>0</v>
      </c>
      <c r="AB46">
        <v>0</v>
      </c>
      <c r="AC46">
        <v>0</v>
      </c>
      <c r="AD46">
        <v>1</v>
      </c>
      <c r="AE46">
        <v>0</v>
      </c>
      <c r="AH46">
        <v>1</v>
      </c>
      <c r="AI46">
        <v>1</v>
      </c>
      <c r="AJ46">
        <v>0</v>
      </c>
      <c r="AL46">
        <v>1</v>
      </c>
      <c r="AM46" t="s">
        <v>175</v>
      </c>
      <c r="AN46">
        <v>1.8181818181818099</v>
      </c>
      <c r="AO46" t="s">
        <v>139</v>
      </c>
      <c r="AP46">
        <v>-1.8181818181818099</v>
      </c>
      <c r="BA46" t="s">
        <v>99</v>
      </c>
      <c r="BB46">
        <v>0</v>
      </c>
    </row>
    <row r="47" spans="1:54" x14ac:dyDescent="0.3">
      <c r="A47" t="s">
        <v>265</v>
      </c>
      <c r="B47" t="s">
        <v>61</v>
      </c>
      <c r="C47" t="s">
        <v>184</v>
      </c>
      <c r="E47" t="s">
        <v>264</v>
      </c>
      <c r="F47">
        <v>-2.5454545454545401</v>
      </c>
      <c r="G47" t="s">
        <v>68</v>
      </c>
      <c r="H47">
        <v>0</v>
      </c>
      <c r="I47">
        <v>20</v>
      </c>
      <c r="J47">
        <v>0</v>
      </c>
      <c r="K47">
        <v>0</v>
      </c>
      <c r="L47" t="s">
        <v>68</v>
      </c>
      <c r="M47">
        <v>0</v>
      </c>
      <c r="N47" t="s">
        <v>7</v>
      </c>
      <c r="Q47">
        <v>0</v>
      </c>
      <c r="R47">
        <v>1</v>
      </c>
      <c r="S47">
        <v>1046494.0054054901</v>
      </c>
      <c r="T47">
        <v>0</v>
      </c>
      <c r="U47">
        <v>0</v>
      </c>
      <c r="V47">
        <v>0</v>
      </c>
      <c r="W47">
        <v>0</v>
      </c>
      <c r="X47">
        <v>1</v>
      </c>
      <c r="Y47" t="s">
        <v>99</v>
      </c>
      <c r="Z47">
        <v>0</v>
      </c>
      <c r="AA47">
        <v>0</v>
      </c>
      <c r="AB47">
        <v>0</v>
      </c>
      <c r="AC47">
        <v>0</v>
      </c>
      <c r="AD47">
        <v>1</v>
      </c>
      <c r="AE47">
        <v>0</v>
      </c>
      <c r="AH47">
        <v>1</v>
      </c>
      <c r="AI47">
        <v>1</v>
      </c>
      <c r="AJ47">
        <v>0</v>
      </c>
      <c r="AL47">
        <v>1</v>
      </c>
      <c r="AM47" t="s">
        <v>176</v>
      </c>
      <c r="AN47">
        <v>1.8181818181818099</v>
      </c>
      <c r="AO47" t="s">
        <v>139</v>
      </c>
      <c r="AP47">
        <v>-1.8181818181818099</v>
      </c>
      <c r="BA47" t="s">
        <v>99</v>
      </c>
      <c r="BB47">
        <v>0</v>
      </c>
    </row>
    <row r="48" spans="1:54" x14ac:dyDescent="0.3">
      <c r="A48" t="s">
        <v>266</v>
      </c>
      <c r="B48" t="s">
        <v>175</v>
      </c>
      <c r="C48" t="s">
        <v>176</v>
      </c>
      <c r="E48" t="s">
        <v>130</v>
      </c>
      <c r="F48">
        <v>1</v>
      </c>
      <c r="G48" t="s">
        <v>68</v>
      </c>
      <c r="H48">
        <v>0</v>
      </c>
      <c r="I48">
        <v>50</v>
      </c>
      <c r="J48">
        <v>0</v>
      </c>
      <c r="K48">
        <v>0</v>
      </c>
      <c r="L48" t="s">
        <v>68</v>
      </c>
      <c r="M48">
        <v>0</v>
      </c>
      <c r="N48" t="s">
        <v>7</v>
      </c>
      <c r="Q48">
        <v>-1</v>
      </c>
      <c r="R48">
        <v>1</v>
      </c>
      <c r="S48">
        <v>174818.19348368101</v>
      </c>
      <c r="T48">
        <v>0</v>
      </c>
      <c r="U48">
        <v>0</v>
      </c>
      <c r="V48">
        <v>0</v>
      </c>
      <c r="W48">
        <v>464.56899717447197</v>
      </c>
      <c r="X48">
        <v>1</v>
      </c>
      <c r="Y48" t="s">
        <v>99</v>
      </c>
      <c r="Z48">
        <v>0</v>
      </c>
      <c r="AA48">
        <v>0</v>
      </c>
      <c r="AB48">
        <v>0</v>
      </c>
      <c r="AC48">
        <v>0</v>
      </c>
      <c r="AD48">
        <v>1</v>
      </c>
      <c r="AE48">
        <v>0</v>
      </c>
      <c r="AH48">
        <v>1</v>
      </c>
      <c r="AI48">
        <v>1</v>
      </c>
      <c r="AJ48">
        <v>0</v>
      </c>
      <c r="AL48">
        <v>1</v>
      </c>
      <c r="AN48">
        <v>1</v>
      </c>
      <c r="AP48">
        <v>1</v>
      </c>
      <c r="BA48" t="s">
        <v>99</v>
      </c>
      <c r="BB48">
        <v>464.56899717447197</v>
      </c>
    </row>
    <row r="49" spans="1:54" x14ac:dyDescent="0.3">
      <c r="A49" t="s">
        <v>267</v>
      </c>
      <c r="B49" t="s">
        <v>58</v>
      </c>
      <c r="C49" t="s">
        <v>61</v>
      </c>
      <c r="E49" t="s">
        <v>8</v>
      </c>
      <c r="F49">
        <v>0.96946336745504402</v>
      </c>
      <c r="G49" t="s">
        <v>68</v>
      </c>
      <c r="H49">
        <v>0</v>
      </c>
      <c r="I49" t="s">
        <v>7</v>
      </c>
      <c r="J49">
        <v>1000</v>
      </c>
      <c r="K49">
        <v>0</v>
      </c>
      <c r="L49" t="s">
        <v>68</v>
      </c>
      <c r="M49">
        <v>1000</v>
      </c>
      <c r="N49">
        <v>21000</v>
      </c>
      <c r="Q49">
        <v>0</v>
      </c>
      <c r="R49">
        <v>1</v>
      </c>
      <c r="S49">
        <v>0</v>
      </c>
      <c r="T49">
        <v>0</v>
      </c>
      <c r="U49">
        <v>0</v>
      </c>
      <c r="V49">
        <v>0</v>
      </c>
      <c r="W49">
        <v>0</v>
      </c>
      <c r="X49">
        <v>1</v>
      </c>
      <c r="Y49" t="s">
        <v>99</v>
      </c>
      <c r="Z49">
        <v>0</v>
      </c>
      <c r="AA49">
        <v>0</v>
      </c>
      <c r="AB49">
        <v>0</v>
      </c>
      <c r="AC49">
        <v>0</v>
      </c>
      <c r="AD49">
        <v>1</v>
      </c>
      <c r="AE49">
        <v>0</v>
      </c>
      <c r="AH49">
        <v>1</v>
      </c>
      <c r="AI49">
        <v>1</v>
      </c>
      <c r="AJ49">
        <v>0</v>
      </c>
      <c r="AL49">
        <v>1</v>
      </c>
      <c r="AN49">
        <v>1</v>
      </c>
      <c r="AP49">
        <v>1</v>
      </c>
      <c r="AQ49">
        <v>500</v>
      </c>
      <c r="AR49">
        <v>1</v>
      </c>
      <c r="AS49">
        <v>0</v>
      </c>
      <c r="AT49" t="s">
        <v>114</v>
      </c>
      <c r="AU49" t="s">
        <v>115</v>
      </c>
      <c r="AV49">
        <v>1</v>
      </c>
      <c r="AW49">
        <v>0.96184305038492401</v>
      </c>
      <c r="BA49" t="s">
        <v>68</v>
      </c>
      <c r="BB49">
        <v>464.56899717447197</v>
      </c>
    </row>
  </sheetData>
  <autoFilter ref="A1:BB4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
  <sheetViews>
    <sheetView tabSelected="1" workbookViewId="0">
      <selection activeCell="A9" sqref="A9"/>
    </sheetView>
  </sheetViews>
  <sheetFormatPr defaultRowHeight="14.4" x14ac:dyDescent="0.3"/>
  <cols>
    <col min="1" max="1" width="37.88671875" bestFit="1" customWidth="1"/>
    <col min="2" max="2" width="22.6640625" bestFit="1" customWidth="1"/>
  </cols>
  <sheetData>
    <row r="1" spans="1:41"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c r="AN1" t="s">
        <v>48</v>
      </c>
      <c r="AO1" t="s">
        <v>47</v>
      </c>
    </row>
    <row r="2" spans="1:41" x14ac:dyDescent="0.3">
      <c r="A2" t="s">
        <v>148</v>
      </c>
      <c r="B2" t="s">
        <v>148</v>
      </c>
      <c r="C2" t="s">
        <v>62</v>
      </c>
      <c r="E2">
        <v>0</v>
      </c>
      <c r="F2">
        <v>0</v>
      </c>
      <c r="G2" t="s">
        <v>68</v>
      </c>
      <c r="H2">
        <v>0</v>
      </c>
      <c r="I2" t="s">
        <v>7</v>
      </c>
      <c r="K2">
        <v>0</v>
      </c>
      <c r="L2">
        <v>1</v>
      </c>
      <c r="N2" t="e">
        <f t="shared" ref="N2" si="0">-inf</f>
        <v>#NAME?</v>
      </c>
      <c r="O2" t="s">
        <v>7</v>
      </c>
      <c r="P2">
        <v>0</v>
      </c>
      <c r="Q2">
        <v>1</v>
      </c>
      <c r="R2" t="s">
        <v>124</v>
      </c>
      <c r="S2">
        <v>24.568000000000001</v>
      </c>
      <c r="T2">
        <v>0</v>
      </c>
      <c r="U2" t="s">
        <v>68</v>
      </c>
      <c r="V2">
        <v>0</v>
      </c>
      <c r="W2" t="s">
        <v>7</v>
      </c>
      <c r="X2">
        <v>0</v>
      </c>
      <c r="Y2">
        <v>1</v>
      </c>
      <c r="Z2" t="s">
        <v>99</v>
      </c>
      <c r="AA2">
        <v>0</v>
      </c>
      <c r="AB2">
        <v>0</v>
      </c>
      <c r="AC2">
        <v>0</v>
      </c>
      <c r="AD2">
        <v>0</v>
      </c>
      <c r="AE2">
        <v>0</v>
      </c>
      <c r="AF2">
        <v>1</v>
      </c>
      <c r="AG2">
        <v>0</v>
      </c>
      <c r="AJ2">
        <v>1</v>
      </c>
      <c r="AK2">
        <v>1</v>
      </c>
      <c r="AL2">
        <v>1</v>
      </c>
      <c r="AM2">
        <v>0</v>
      </c>
    </row>
    <row r="3" spans="1:41" x14ac:dyDescent="0.3">
      <c r="A3" t="s">
        <v>187</v>
      </c>
      <c r="B3" t="s">
        <v>187</v>
      </c>
      <c r="C3" t="s">
        <v>62</v>
      </c>
      <c r="E3">
        <v>32964098.9622171</v>
      </c>
      <c r="F3">
        <v>0</v>
      </c>
      <c r="G3" t="s">
        <v>99</v>
      </c>
      <c r="H3">
        <v>0</v>
      </c>
      <c r="I3" t="s">
        <v>7</v>
      </c>
      <c r="K3">
        <v>0</v>
      </c>
      <c r="L3">
        <v>1</v>
      </c>
      <c r="N3">
        <v>0</v>
      </c>
      <c r="O3" t="s">
        <v>7</v>
      </c>
      <c r="P3">
        <v>0</v>
      </c>
      <c r="Q3">
        <v>1</v>
      </c>
      <c r="R3" t="s">
        <v>188</v>
      </c>
      <c r="S3">
        <v>62.435099999999998</v>
      </c>
      <c r="T3">
        <v>0</v>
      </c>
      <c r="U3" t="s">
        <v>68</v>
      </c>
      <c r="V3">
        <v>0</v>
      </c>
      <c r="W3" t="s">
        <v>7</v>
      </c>
      <c r="X3">
        <v>0</v>
      </c>
      <c r="Y3">
        <v>1</v>
      </c>
      <c r="Z3" t="s">
        <v>99</v>
      </c>
      <c r="AA3">
        <v>0</v>
      </c>
      <c r="AB3">
        <v>0</v>
      </c>
      <c r="AC3">
        <v>0</v>
      </c>
      <c r="AD3">
        <v>0</v>
      </c>
      <c r="AE3">
        <v>0</v>
      </c>
      <c r="AF3">
        <v>1</v>
      </c>
      <c r="AG3">
        <v>0</v>
      </c>
      <c r="AJ3">
        <v>1</v>
      </c>
      <c r="AK3">
        <v>1</v>
      </c>
      <c r="AL3">
        <v>1</v>
      </c>
      <c r="AM3">
        <v>0</v>
      </c>
    </row>
    <row r="4" spans="1:41" x14ac:dyDescent="0.3">
      <c r="A4" t="s">
        <v>191</v>
      </c>
      <c r="B4" t="s">
        <v>191</v>
      </c>
      <c r="C4" t="s">
        <v>62</v>
      </c>
      <c r="E4">
        <v>0</v>
      </c>
      <c r="F4">
        <v>0</v>
      </c>
      <c r="G4" t="s">
        <v>68</v>
      </c>
      <c r="H4">
        <v>0</v>
      </c>
      <c r="I4" t="s">
        <v>7</v>
      </c>
      <c r="K4">
        <v>0</v>
      </c>
      <c r="L4">
        <v>1</v>
      </c>
      <c r="N4" t="e">
        <f t="shared" ref="N4" si="1">-inf</f>
        <v>#NAME?</v>
      </c>
      <c r="O4" t="s">
        <v>7</v>
      </c>
      <c r="P4">
        <v>0</v>
      </c>
      <c r="Q4">
        <v>1</v>
      </c>
      <c r="R4" t="s">
        <v>192</v>
      </c>
      <c r="S4">
        <v>52.911099999999998</v>
      </c>
      <c r="T4">
        <v>0</v>
      </c>
      <c r="U4" t="s">
        <v>68</v>
      </c>
      <c r="V4">
        <v>0</v>
      </c>
      <c r="W4" t="s">
        <v>7</v>
      </c>
      <c r="X4">
        <v>0</v>
      </c>
      <c r="Y4">
        <v>1</v>
      </c>
      <c r="Z4" t="s">
        <v>99</v>
      </c>
      <c r="AA4">
        <v>0</v>
      </c>
      <c r="AB4">
        <v>0</v>
      </c>
      <c r="AC4">
        <v>0</v>
      </c>
      <c r="AD4">
        <v>0</v>
      </c>
      <c r="AE4">
        <v>0</v>
      </c>
      <c r="AF4">
        <v>1</v>
      </c>
      <c r="AG4">
        <v>0</v>
      </c>
      <c r="AJ4">
        <v>1</v>
      </c>
      <c r="AK4">
        <v>1</v>
      </c>
      <c r="AL4">
        <v>1</v>
      </c>
      <c r="AM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workbookViewId="0">
      <selection activeCell="B20" sqref="B20"/>
    </sheetView>
  </sheetViews>
  <sheetFormatPr defaultRowHeight="14.4" x14ac:dyDescent="0.3"/>
  <cols>
    <col min="1" max="2" width="28.6640625" bestFit="1" customWidth="1"/>
    <col min="5" max="5" width="10" bestFit="1" customWidth="1"/>
    <col min="9" max="9" width="10" bestFit="1" customWidth="1"/>
  </cols>
  <sheetData>
    <row r="1" spans="1:30" x14ac:dyDescent="0.3">
      <c r="A1" t="s">
        <v>116</v>
      </c>
      <c r="B1" t="s">
        <v>63</v>
      </c>
      <c r="C1" t="s">
        <v>43</v>
      </c>
      <c r="D1" t="s">
        <v>46</v>
      </c>
      <c r="E1" t="s">
        <v>159</v>
      </c>
      <c r="F1" t="s">
        <v>160</v>
      </c>
      <c r="G1" t="s">
        <v>161</v>
      </c>
      <c r="H1" t="s">
        <v>162</v>
      </c>
      <c r="I1" t="s">
        <v>163</v>
      </c>
      <c r="J1" t="s">
        <v>164</v>
      </c>
      <c r="K1" t="s">
        <v>165</v>
      </c>
      <c r="L1" t="s">
        <v>166</v>
      </c>
      <c r="M1" t="s">
        <v>167</v>
      </c>
      <c r="N1" t="s">
        <v>168</v>
      </c>
      <c r="O1" t="s">
        <v>169</v>
      </c>
      <c r="P1" t="s">
        <v>170</v>
      </c>
      <c r="Q1" t="s">
        <v>64</v>
      </c>
      <c r="R1" t="s">
        <v>65</v>
      </c>
      <c r="S1" t="s">
        <v>171</v>
      </c>
      <c r="T1" t="s">
        <v>66</v>
      </c>
      <c r="U1" t="s">
        <v>78</v>
      </c>
      <c r="V1" t="s">
        <v>79</v>
      </c>
      <c r="W1" t="s">
        <v>172</v>
      </c>
      <c r="X1" t="s">
        <v>82</v>
      </c>
      <c r="Y1" t="s">
        <v>173</v>
      </c>
      <c r="Z1" t="s">
        <v>67</v>
      </c>
      <c r="AA1" t="s">
        <v>80</v>
      </c>
      <c r="AB1" t="s">
        <v>81</v>
      </c>
      <c r="AC1" t="s">
        <v>174</v>
      </c>
      <c r="AD1" t="s">
        <v>48</v>
      </c>
    </row>
    <row r="2" spans="1:30" x14ac:dyDescent="0.3">
      <c r="A2" t="s">
        <v>139</v>
      </c>
      <c r="B2" t="s">
        <v>139</v>
      </c>
      <c r="D2" t="s">
        <v>118</v>
      </c>
      <c r="E2" t="s">
        <v>7</v>
      </c>
      <c r="F2">
        <v>0</v>
      </c>
      <c r="G2" t="s">
        <v>99</v>
      </c>
      <c r="H2">
        <v>0</v>
      </c>
      <c r="I2" t="s">
        <v>7</v>
      </c>
      <c r="K2">
        <v>-1</v>
      </c>
      <c r="L2">
        <v>1</v>
      </c>
      <c r="M2">
        <v>0</v>
      </c>
      <c r="N2" t="s">
        <v>99</v>
      </c>
      <c r="O2" t="s">
        <v>99</v>
      </c>
      <c r="P2" t="s">
        <v>99</v>
      </c>
      <c r="R2">
        <v>0</v>
      </c>
      <c r="T2">
        <v>1</v>
      </c>
      <c r="U2">
        <v>-300</v>
      </c>
      <c r="V2">
        <v>0</v>
      </c>
      <c r="W2">
        <v>0</v>
      </c>
      <c r="X2">
        <v>0</v>
      </c>
      <c r="Y2">
        <v>0</v>
      </c>
      <c r="Z2" t="s">
        <v>68</v>
      </c>
      <c r="AA2">
        <v>0</v>
      </c>
      <c r="AB2" t="s">
        <v>7</v>
      </c>
      <c r="AC2">
        <v>0</v>
      </c>
    </row>
    <row r="3" spans="1:30" x14ac:dyDescent="0.3">
      <c r="A3" t="s">
        <v>175</v>
      </c>
      <c r="B3" t="s">
        <v>175</v>
      </c>
      <c r="D3" t="s">
        <v>120</v>
      </c>
      <c r="E3">
        <v>0</v>
      </c>
      <c r="F3">
        <v>0</v>
      </c>
      <c r="G3" t="s">
        <v>68</v>
      </c>
      <c r="H3">
        <v>0</v>
      </c>
      <c r="I3" t="s">
        <v>7</v>
      </c>
      <c r="K3">
        <v>0</v>
      </c>
      <c r="L3">
        <v>1</v>
      </c>
      <c r="M3">
        <v>0</v>
      </c>
      <c r="N3" t="s">
        <v>99</v>
      </c>
      <c r="O3" t="s">
        <v>68</v>
      </c>
      <c r="P3" t="s">
        <v>99</v>
      </c>
      <c r="R3">
        <v>0</v>
      </c>
      <c r="T3">
        <v>1</v>
      </c>
      <c r="U3">
        <v>0</v>
      </c>
      <c r="V3">
        <v>0</v>
      </c>
      <c r="W3">
        <v>0</v>
      </c>
      <c r="X3">
        <v>247.60754609926099</v>
      </c>
      <c r="Y3">
        <v>0</v>
      </c>
      <c r="Z3" t="s">
        <v>68</v>
      </c>
      <c r="AA3">
        <v>0</v>
      </c>
      <c r="AB3" t="s">
        <v>7</v>
      </c>
      <c r="AC3">
        <v>0</v>
      </c>
    </row>
    <row r="4" spans="1:30" x14ac:dyDescent="0.3">
      <c r="A4" t="s">
        <v>176</v>
      </c>
      <c r="B4" t="s">
        <v>176</v>
      </c>
      <c r="D4" t="s">
        <v>120</v>
      </c>
      <c r="E4">
        <v>0</v>
      </c>
      <c r="F4">
        <v>0</v>
      </c>
      <c r="G4" t="s">
        <v>68</v>
      </c>
      <c r="H4">
        <v>0</v>
      </c>
      <c r="I4" t="s">
        <v>7</v>
      </c>
      <c r="K4">
        <v>0</v>
      </c>
      <c r="L4">
        <v>1</v>
      </c>
      <c r="M4">
        <v>0</v>
      </c>
      <c r="N4" t="s">
        <v>99</v>
      </c>
      <c r="O4" t="s">
        <v>68</v>
      </c>
      <c r="P4" t="s">
        <v>99</v>
      </c>
      <c r="R4">
        <v>0</v>
      </c>
      <c r="T4">
        <v>1</v>
      </c>
      <c r="U4">
        <v>0</v>
      </c>
      <c r="V4">
        <v>0</v>
      </c>
      <c r="W4">
        <v>0</v>
      </c>
      <c r="X4">
        <v>247.60754609926099</v>
      </c>
      <c r="Y4">
        <v>0</v>
      </c>
      <c r="Z4" t="s">
        <v>68</v>
      </c>
      <c r="AA4">
        <v>0</v>
      </c>
      <c r="AB4" t="s">
        <v>7</v>
      </c>
      <c r="AC4">
        <v>0</v>
      </c>
    </row>
    <row r="5" spans="1:30" x14ac:dyDescent="0.3">
      <c r="A5" t="s">
        <v>177</v>
      </c>
      <c r="B5" t="s">
        <v>177</v>
      </c>
      <c r="D5" t="s">
        <v>122</v>
      </c>
      <c r="E5">
        <v>0</v>
      </c>
      <c r="F5">
        <v>0</v>
      </c>
      <c r="G5" t="s">
        <v>68</v>
      </c>
      <c r="H5">
        <v>0</v>
      </c>
      <c r="I5">
        <v>33909684.468837999</v>
      </c>
      <c r="K5">
        <v>0</v>
      </c>
      <c r="L5">
        <v>1</v>
      </c>
      <c r="M5">
        <v>0</v>
      </c>
      <c r="N5" t="s">
        <v>99</v>
      </c>
      <c r="O5" t="s">
        <v>99</v>
      </c>
      <c r="P5" t="s">
        <v>99</v>
      </c>
      <c r="R5">
        <v>0</v>
      </c>
      <c r="T5">
        <v>1</v>
      </c>
      <c r="U5">
        <v>-0.1</v>
      </c>
      <c r="V5">
        <v>0</v>
      </c>
      <c r="W5">
        <v>0</v>
      </c>
      <c r="X5">
        <v>30</v>
      </c>
      <c r="Y5">
        <v>0</v>
      </c>
      <c r="Z5" t="s">
        <v>68</v>
      </c>
      <c r="AA5">
        <v>0</v>
      </c>
      <c r="AB5">
        <v>50</v>
      </c>
      <c r="AC5">
        <v>0</v>
      </c>
    </row>
    <row r="6" spans="1:30" x14ac:dyDescent="0.3">
      <c r="A6" t="s">
        <v>178</v>
      </c>
      <c r="B6" t="s">
        <v>178</v>
      </c>
      <c r="D6" t="s">
        <v>122</v>
      </c>
      <c r="E6">
        <v>0</v>
      </c>
      <c r="F6">
        <v>0</v>
      </c>
      <c r="G6" t="s">
        <v>68</v>
      </c>
      <c r="H6">
        <v>0</v>
      </c>
      <c r="I6">
        <v>0</v>
      </c>
      <c r="K6">
        <v>0</v>
      </c>
      <c r="L6">
        <v>1</v>
      </c>
      <c r="M6">
        <v>0</v>
      </c>
      <c r="N6" t="s">
        <v>99</v>
      </c>
      <c r="O6" t="s">
        <v>99</v>
      </c>
      <c r="P6" t="s">
        <v>99</v>
      </c>
      <c r="R6">
        <v>0</v>
      </c>
      <c r="T6">
        <v>1</v>
      </c>
      <c r="U6">
        <v>-0.1</v>
      </c>
      <c r="V6">
        <v>0</v>
      </c>
      <c r="W6">
        <v>0</v>
      </c>
      <c r="X6">
        <v>30</v>
      </c>
      <c r="Y6">
        <v>0</v>
      </c>
      <c r="Z6" t="s">
        <v>68</v>
      </c>
      <c r="AA6">
        <v>0</v>
      </c>
      <c r="AB6">
        <v>50</v>
      </c>
      <c r="AC6">
        <v>0</v>
      </c>
    </row>
    <row r="7" spans="1:30" x14ac:dyDescent="0.3">
      <c r="A7" t="s">
        <v>268</v>
      </c>
      <c r="B7" t="s">
        <v>148</v>
      </c>
      <c r="D7" t="s">
        <v>124</v>
      </c>
      <c r="E7">
        <v>0</v>
      </c>
      <c r="F7">
        <v>0</v>
      </c>
      <c r="G7" t="s">
        <v>68</v>
      </c>
      <c r="H7">
        <v>0</v>
      </c>
      <c r="I7" t="s">
        <v>7</v>
      </c>
      <c r="K7">
        <v>0</v>
      </c>
      <c r="L7">
        <v>1</v>
      </c>
      <c r="M7">
        <v>0</v>
      </c>
      <c r="N7" t="s">
        <v>99</v>
      </c>
      <c r="O7" t="s">
        <v>68</v>
      </c>
      <c r="P7" t="s">
        <v>99</v>
      </c>
      <c r="R7">
        <v>0</v>
      </c>
      <c r="T7">
        <v>1</v>
      </c>
      <c r="U7">
        <v>0</v>
      </c>
      <c r="V7">
        <v>0</v>
      </c>
      <c r="W7">
        <v>0</v>
      </c>
      <c r="X7">
        <v>17.851177705084002</v>
      </c>
      <c r="Y7">
        <v>0</v>
      </c>
      <c r="Z7" t="s">
        <v>68</v>
      </c>
      <c r="AA7">
        <v>0</v>
      </c>
      <c r="AB7" t="s">
        <v>7</v>
      </c>
      <c r="AC7">
        <v>0</v>
      </c>
    </row>
    <row r="8" spans="1:30" x14ac:dyDescent="0.3">
      <c r="A8" t="s">
        <v>269</v>
      </c>
      <c r="B8" t="s">
        <v>179</v>
      </c>
      <c r="D8" t="s">
        <v>150</v>
      </c>
      <c r="E8">
        <v>0</v>
      </c>
      <c r="F8">
        <v>0</v>
      </c>
      <c r="G8" t="s">
        <v>68</v>
      </c>
      <c r="H8">
        <v>0</v>
      </c>
      <c r="I8" t="s">
        <v>7</v>
      </c>
      <c r="K8">
        <v>0</v>
      </c>
      <c r="L8">
        <v>1</v>
      </c>
      <c r="M8">
        <v>0</v>
      </c>
      <c r="N8" t="s">
        <v>99</v>
      </c>
      <c r="O8" t="s">
        <v>68</v>
      </c>
      <c r="P8" t="s">
        <v>99</v>
      </c>
      <c r="R8">
        <v>0</v>
      </c>
      <c r="T8">
        <v>1</v>
      </c>
      <c r="U8">
        <v>0</v>
      </c>
      <c r="V8">
        <v>0</v>
      </c>
      <c r="W8">
        <v>0</v>
      </c>
      <c r="X8">
        <v>2224.9757185680201</v>
      </c>
      <c r="Y8">
        <v>0</v>
      </c>
      <c r="Z8" t="s">
        <v>68</v>
      </c>
      <c r="AA8">
        <v>0</v>
      </c>
      <c r="AB8">
        <v>30</v>
      </c>
      <c r="AC8">
        <v>0</v>
      </c>
    </row>
    <row r="9" spans="1:30" x14ac:dyDescent="0.3">
      <c r="A9" t="s">
        <v>270</v>
      </c>
      <c r="B9" t="s">
        <v>180</v>
      </c>
      <c r="D9" t="s">
        <v>150</v>
      </c>
      <c r="E9">
        <v>0</v>
      </c>
      <c r="F9">
        <v>0</v>
      </c>
      <c r="G9" t="s">
        <v>68</v>
      </c>
      <c r="H9">
        <v>0</v>
      </c>
      <c r="I9" t="s">
        <v>7</v>
      </c>
      <c r="K9">
        <v>0</v>
      </c>
      <c r="L9">
        <v>1</v>
      </c>
      <c r="M9">
        <v>0</v>
      </c>
      <c r="N9" t="s">
        <v>99</v>
      </c>
      <c r="O9" t="s">
        <v>68</v>
      </c>
      <c r="P9" t="s">
        <v>99</v>
      </c>
      <c r="R9">
        <v>0</v>
      </c>
      <c r="T9">
        <v>1</v>
      </c>
      <c r="U9">
        <v>0</v>
      </c>
      <c r="V9">
        <v>0</v>
      </c>
      <c r="W9">
        <v>0</v>
      </c>
      <c r="X9">
        <v>2224.9757185680201</v>
      </c>
      <c r="Y9">
        <v>0</v>
      </c>
      <c r="Z9" t="s">
        <v>68</v>
      </c>
      <c r="AA9">
        <v>0</v>
      </c>
      <c r="AB9">
        <v>30</v>
      </c>
      <c r="AC9">
        <v>0</v>
      </c>
    </row>
    <row r="10" spans="1:30" x14ac:dyDescent="0.3">
      <c r="A10" t="s">
        <v>271</v>
      </c>
      <c r="B10" t="s">
        <v>189</v>
      </c>
      <c r="D10" t="s">
        <v>190</v>
      </c>
      <c r="E10">
        <v>0</v>
      </c>
      <c r="F10">
        <v>0</v>
      </c>
      <c r="G10" t="s">
        <v>68</v>
      </c>
      <c r="H10">
        <v>0</v>
      </c>
      <c r="I10" t="s">
        <v>7</v>
      </c>
      <c r="K10">
        <v>0</v>
      </c>
      <c r="L10">
        <v>1</v>
      </c>
      <c r="M10">
        <v>0</v>
      </c>
      <c r="N10" t="s">
        <v>99</v>
      </c>
      <c r="O10" t="s">
        <v>68</v>
      </c>
      <c r="P10" t="s">
        <v>99</v>
      </c>
      <c r="R10">
        <v>0</v>
      </c>
      <c r="T10">
        <v>1</v>
      </c>
      <c r="U10">
        <v>0</v>
      </c>
      <c r="V10">
        <v>0</v>
      </c>
      <c r="W10">
        <v>0</v>
      </c>
      <c r="X10">
        <v>2.7292444759511101</v>
      </c>
      <c r="Y10">
        <v>0</v>
      </c>
      <c r="Z10" t="s">
        <v>68</v>
      </c>
      <c r="AA10">
        <v>0</v>
      </c>
      <c r="AB10" t="s">
        <v>7</v>
      </c>
      <c r="AC10">
        <v>0</v>
      </c>
    </row>
    <row r="11" spans="1:30" x14ac:dyDescent="0.3">
      <c r="A11" t="s">
        <v>272</v>
      </c>
      <c r="B11" t="s">
        <v>193</v>
      </c>
      <c r="D11" t="s">
        <v>126</v>
      </c>
      <c r="E11">
        <v>0</v>
      </c>
      <c r="F11">
        <v>0</v>
      </c>
      <c r="G11" t="s">
        <v>68</v>
      </c>
      <c r="H11">
        <v>0</v>
      </c>
      <c r="I11" t="s">
        <v>7</v>
      </c>
      <c r="K11">
        <v>0</v>
      </c>
      <c r="L11">
        <v>1</v>
      </c>
      <c r="M11">
        <v>0</v>
      </c>
      <c r="N11" t="s">
        <v>99</v>
      </c>
      <c r="O11" t="s">
        <v>68</v>
      </c>
      <c r="P11" t="s">
        <v>99</v>
      </c>
      <c r="R11">
        <v>0</v>
      </c>
      <c r="T11">
        <v>1</v>
      </c>
      <c r="U11">
        <v>0</v>
      </c>
      <c r="V11">
        <v>0</v>
      </c>
      <c r="W11">
        <v>0</v>
      </c>
      <c r="X11">
        <v>5.6284121885533196</v>
      </c>
      <c r="Y11">
        <v>0</v>
      </c>
      <c r="Z11" t="s">
        <v>68</v>
      </c>
      <c r="AA11">
        <v>0</v>
      </c>
      <c r="AB11" t="s">
        <v>7</v>
      </c>
      <c r="AC11">
        <v>0</v>
      </c>
    </row>
    <row r="12" spans="1:30" x14ac:dyDescent="0.3">
      <c r="A12" t="s">
        <v>197</v>
      </c>
      <c r="B12" t="s">
        <v>197</v>
      </c>
      <c r="D12" t="s">
        <v>198</v>
      </c>
      <c r="E12">
        <v>13621427.5867132</v>
      </c>
      <c r="F12">
        <v>0</v>
      </c>
      <c r="G12" t="s">
        <v>99</v>
      </c>
      <c r="H12">
        <v>0</v>
      </c>
      <c r="I12" t="s">
        <v>7</v>
      </c>
      <c r="K12">
        <v>0</v>
      </c>
      <c r="L12">
        <v>1</v>
      </c>
      <c r="M12">
        <v>13621427.5867132</v>
      </c>
      <c r="N12" t="s">
        <v>99</v>
      </c>
      <c r="O12" t="s">
        <v>99</v>
      </c>
      <c r="P12" t="s">
        <v>99</v>
      </c>
      <c r="R12">
        <v>0</v>
      </c>
      <c r="T12">
        <v>1</v>
      </c>
      <c r="U12">
        <v>0</v>
      </c>
      <c r="V12">
        <v>0</v>
      </c>
      <c r="W12">
        <v>0</v>
      </c>
      <c r="X12">
        <v>0</v>
      </c>
      <c r="Y12">
        <v>0</v>
      </c>
      <c r="Z12" t="s">
        <v>68</v>
      </c>
      <c r="AA12">
        <v>0</v>
      </c>
      <c r="AB12" t="s">
        <v>7</v>
      </c>
      <c r="AC12">
        <v>0</v>
      </c>
    </row>
    <row r="13" spans="1:30" x14ac:dyDescent="0.3">
      <c r="A13" t="s">
        <v>199</v>
      </c>
      <c r="B13" t="s">
        <v>199</v>
      </c>
      <c r="D13" t="s">
        <v>198</v>
      </c>
      <c r="E13">
        <v>349268.64043572498</v>
      </c>
      <c r="F13">
        <v>0</v>
      </c>
      <c r="G13" t="s">
        <v>99</v>
      </c>
      <c r="H13">
        <v>0</v>
      </c>
      <c r="I13" t="s">
        <v>7</v>
      </c>
      <c r="K13">
        <v>0</v>
      </c>
      <c r="L13">
        <v>1</v>
      </c>
      <c r="M13">
        <v>349268.64043572498</v>
      </c>
      <c r="N13" t="s">
        <v>99</v>
      </c>
      <c r="O13" t="s">
        <v>99</v>
      </c>
      <c r="P13" t="s">
        <v>99</v>
      </c>
      <c r="R13">
        <v>0</v>
      </c>
      <c r="T13">
        <v>1</v>
      </c>
      <c r="U13">
        <v>0</v>
      </c>
      <c r="V13">
        <v>0</v>
      </c>
      <c r="W13">
        <v>0</v>
      </c>
      <c r="X13">
        <v>0</v>
      </c>
      <c r="Y13">
        <v>0</v>
      </c>
      <c r="Z13" t="s">
        <v>68</v>
      </c>
      <c r="AA13">
        <v>0</v>
      </c>
      <c r="AB13" t="s">
        <v>7</v>
      </c>
      <c r="AC13">
        <v>0</v>
      </c>
    </row>
  </sheetData>
  <autoFilter ref="A1:A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B1" sqref="B1"/>
    </sheetView>
  </sheetViews>
  <sheetFormatPr defaultRowHeight="14.4" x14ac:dyDescent="0.3"/>
  <sheetData>
    <row r="1" spans="1:5" x14ac:dyDescent="0.3">
      <c r="A1" t="s">
        <v>154</v>
      </c>
      <c r="B1" t="s">
        <v>197</v>
      </c>
      <c r="C1" t="s">
        <v>185</v>
      </c>
      <c r="D1" t="s">
        <v>199</v>
      </c>
      <c r="E1" t="s">
        <v>186</v>
      </c>
    </row>
    <row r="2" spans="1:5" x14ac:dyDescent="0.3">
      <c r="A2" s="1">
        <v>43466</v>
      </c>
      <c r="B2">
        <v>1</v>
      </c>
      <c r="C2">
        <v>0.47765199768143501</v>
      </c>
      <c r="D2">
        <v>1</v>
      </c>
      <c r="E2">
        <v>0.31219758419291399</v>
      </c>
    </row>
    <row r="3" spans="1:5" x14ac:dyDescent="0.3">
      <c r="A3" s="1">
        <v>43466.041666666664</v>
      </c>
      <c r="B3">
        <v>1</v>
      </c>
      <c r="C3">
        <v>0.47765199768143501</v>
      </c>
      <c r="D3">
        <v>1</v>
      </c>
      <c r="E3">
        <v>0.31219758419291399</v>
      </c>
    </row>
    <row r="4" spans="1:5" x14ac:dyDescent="0.3">
      <c r="A4" s="1">
        <v>43466.083333333336</v>
      </c>
      <c r="B4">
        <v>1</v>
      </c>
      <c r="C4">
        <v>0.47765199768143501</v>
      </c>
      <c r="D4">
        <v>1</v>
      </c>
      <c r="E4">
        <v>0.31219758419291399</v>
      </c>
    </row>
    <row r="5" spans="1:5" x14ac:dyDescent="0.3">
      <c r="A5" s="1">
        <v>43466.125</v>
      </c>
      <c r="B5">
        <v>1</v>
      </c>
      <c r="C5">
        <v>0.47765199768143501</v>
      </c>
      <c r="D5">
        <v>1</v>
      </c>
      <c r="E5">
        <v>0.31219758419291399</v>
      </c>
    </row>
    <row r="6" spans="1:5" x14ac:dyDescent="0.3">
      <c r="A6" s="1">
        <v>43466.166666666664</v>
      </c>
      <c r="B6">
        <v>1</v>
      </c>
      <c r="C6">
        <v>0.47765199768143501</v>
      </c>
      <c r="D6">
        <v>1</v>
      </c>
      <c r="E6">
        <v>0.31219758419291399</v>
      </c>
    </row>
    <row r="7" spans="1:5" x14ac:dyDescent="0.3">
      <c r="A7" s="1">
        <v>43466.208333333336</v>
      </c>
      <c r="B7">
        <v>1</v>
      </c>
      <c r="C7">
        <v>0.47765199768143501</v>
      </c>
      <c r="D7">
        <v>1</v>
      </c>
      <c r="E7">
        <v>0.31219758419291399</v>
      </c>
    </row>
    <row r="8" spans="1:5" x14ac:dyDescent="0.3">
      <c r="A8" s="1">
        <v>43466.25</v>
      </c>
      <c r="B8">
        <v>1</v>
      </c>
      <c r="C8">
        <v>0.47765199768143501</v>
      </c>
      <c r="D8">
        <v>1</v>
      </c>
      <c r="E8">
        <v>0.31219758419291399</v>
      </c>
    </row>
    <row r="9" spans="1:5" x14ac:dyDescent="0.3">
      <c r="A9" s="1">
        <v>43466.291666666664</v>
      </c>
      <c r="B9">
        <v>1</v>
      </c>
      <c r="C9">
        <v>0.47765199768143501</v>
      </c>
      <c r="D9">
        <v>1</v>
      </c>
      <c r="E9">
        <v>0.31219758419291399</v>
      </c>
    </row>
    <row r="10" spans="1:5" x14ac:dyDescent="0.3">
      <c r="A10" s="1">
        <v>43466.333333333336</v>
      </c>
      <c r="B10">
        <v>1</v>
      </c>
      <c r="C10">
        <v>0.47765199768143501</v>
      </c>
      <c r="D10">
        <v>1</v>
      </c>
      <c r="E10">
        <v>0.31219758419291399</v>
      </c>
    </row>
    <row r="11" spans="1:5" x14ac:dyDescent="0.3">
      <c r="A11" s="1">
        <v>43466.375</v>
      </c>
      <c r="B11">
        <v>1</v>
      </c>
      <c r="C11">
        <v>0.47765199768143501</v>
      </c>
      <c r="D11">
        <v>1</v>
      </c>
      <c r="E11">
        <v>0.31219758419291399</v>
      </c>
    </row>
    <row r="12" spans="1:5" x14ac:dyDescent="0.3">
      <c r="A12" s="1">
        <v>43466.416666666664</v>
      </c>
      <c r="B12">
        <v>1</v>
      </c>
      <c r="C12">
        <v>0.47765199768143501</v>
      </c>
      <c r="D12">
        <v>1</v>
      </c>
      <c r="E12">
        <v>0.31219758419291399</v>
      </c>
    </row>
    <row r="13" spans="1:5" x14ac:dyDescent="0.3">
      <c r="A13" s="1">
        <v>43466.458333333336</v>
      </c>
      <c r="B13">
        <v>1</v>
      </c>
      <c r="C13">
        <v>0.47765199768143501</v>
      </c>
      <c r="D13">
        <v>1</v>
      </c>
      <c r="E13">
        <v>0.31219758419291399</v>
      </c>
    </row>
    <row r="14" spans="1:5" x14ac:dyDescent="0.3">
      <c r="A14" s="1">
        <v>43466.5</v>
      </c>
      <c r="B14">
        <v>1</v>
      </c>
      <c r="C14">
        <v>0.47765199768143501</v>
      </c>
      <c r="D14">
        <v>1</v>
      </c>
      <c r="E14">
        <v>0.31219758419291399</v>
      </c>
    </row>
    <row r="15" spans="1:5" x14ac:dyDescent="0.3">
      <c r="A15" s="1">
        <v>43466.541666666664</v>
      </c>
      <c r="B15">
        <v>1</v>
      </c>
      <c r="C15">
        <v>0.47765199768143501</v>
      </c>
      <c r="D15">
        <v>1</v>
      </c>
      <c r="E15">
        <v>0.31219758419291399</v>
      </c>
    </row>
    <row r="16" spans="1:5" x14ac:dyDescent="0.3">
      <c r="A16" s="1">
        <v>43466.583333333336</v>
      </c>
      <c r="B16">
        <v>1</v>
      </c>
      <c r="C16">
        <v>0.47765199768143501</v>
      </c>
      <c r="D16">
        <v>1</v>
      </c>
      <c r="E16">
        <v>0.31219758419291399</v>
      </c>
    </row>
    <row r="17" spans="1:5" x14ac:dyDescent="0.3">
      <c r="A17" s="1">
        <v>43466.625</v>
      </c>
      <c r="B17">
        <v>1</v>
      </c>
      <c r="C17">
        <v>0.47765199768143501</v>
      </c>
      <c r="D17">
        <v>1</v>
      </c>
      <c r="E17">
        <v>0.31219758419291399</v>
      </c>
    </row>
    <row r="18" spans="1:5" x14ac:dyDescent="0.3">
      <c r="A18" s="1">
        <v>43466.666666666664</v>
      </c>
      <c r="B18">
        <v>1</v>
      </c>
      <c r="C18">
        <v>0.47765199768143501</v>
      </c>
      <c r="D18">
        <v>1</v>
      </c>
      <c r="E18">
        <v>0.31219758419291399</v>
      </c>
    </row>
    <row r="19" spans="1:5" x14ac:dyDescent="0.3">
      <c r="A19" s="1">
        <v>43466.708333333336</v>
      </c>
      <c r="B19">
        <v>1</v>
      </c>
      <c r="C19">
        <v>0.47765199768143501</v>
      </c>
      <c r="D19">
        <v>1</v>
      </c>
      <c r="E19">
        <v>0.31219758419291399</v>
      </c>
    </row>
    <row r="20" spans="1:5" x14ac:dyDescent="0.3">
      <c r="A20" s="1">
        <v>43466.75</v>
      </c>
      <c r="B20">
        <v>1</v>
      </c>
      <c r="C20">
        <v>0.47765199768143501</v>
      </c>
      <c r="D20">
        <v>1</v>
      </c>
      <c r="E20">
        <v>0.31219758419291399</v>
      </c>
    </row>
    <row r="21" spans="1:5" x14ac:dyDescent="0.3">
      <c r="A21" s="1">
        <v>43466.791666666664</v>
      </c>
      <c r="B21">
        <v>1</v>
      </c>
      <c r="C21">
        <v>0.47765199768143501</v>
      </c>
      <c r="D21">
        <v>1</v>
      </c>
      <c r="E21">
        <v>0.31219758419291399</v>
      </c>
    </row>
    <row r="22" spans="1:5" x14ac:dyDescent="0.3">
      <c r="A22" s="1">
        <v>43466.833333333336</v>
      </c>
      <c r="B22">
        <v>1</v>
      </c>
      <c r="C22">
        <v>0.47765199768143501</v>
      </c>
      <c r="D22">
        <v>1</v>
      </c>
      <c r="E22">
        <v>0.31219758419291399</v>
      </c>
    </row>
    <row r="23" spans="1:5" x14ac:dyDescent="0.3">
      <c r="A23" s="1">
        <v>43466.875</v>
      </c>
      <c r="B23">
        <v>1</v>
      </c>
      <c r="C23">
        <v>0.47765199768143501</v>
      </c>
      <c r="D23">
        <v>1</v>
      </c>
      <c r="E23">
        <v>0.31219758419291399</v>
      </c>
    </row>
    <row r="24" spans="1:5" x14ac:dyDescent="0.3">
      <c r="A24" s="1">
        <v>43466.916666666664</v>
      </c>
      <c r="B24">
        <v>1</v>
      </c>
      <c r="C24">
        <v>0.47765199768143501</v>
      </c>
      <c r="D24">
        <v>1</v>
      </c>
      <c r="E24">
        <v>0.31219758419291399</v>
      </c>
    </row>
    <row r="25" spans="1:5" x14ac:dyDescent="0.3">
      <c r="A25" s="1">
        <v>43466.958333333336</v>
      </c>
      <c r="B25">
        <v>1</v>
      </c>
      <c r="C25">
        <v>0.47765199768143501</v>
      </c>
      <c r="D25">
        <v>1</v>
      </c>
      <c r="E25">
        <v>0.31219758419291399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D31" sqref="D31"/>
    </sheetView>
  </sheetViews>
  <sheetFormatPr defaultRowHeight="14.4" x14ac:dyDescent="0.3"/>
  <sheetData>
    <row r="1" spans="1:3" x14ac:dyDescent="0.3">
      <c r="A1" t="s">
        <v>154</v>
      </c>
      <c r="B1" t="s">
        <v>181</v>
      </c>
      <c r="C1" t="s">
        <v>184</v>
      </c>
    </row>
    <row r="2" spans="1:3" x14ac:dyDescent="0.3">
      <c r="A2" s="1">
        <v>43466</v>
      </c>
      <c r="B2">
        <v>21244.721737339001</v>
      </c>
      <c r="C2">
        <v>190.50079551452299</v>
      </c>
    </row>
    <row r="3" spans="1:3" x14ac:dyDescent="0.3">
      <c r="A3" s="1">
        <v>43466.041666666664</v>
      </c>
      <c r="B3">
        <v>21829.205770521101</v>
      </c>
      <c r="C3">
        <v>195.83263646493199</v>
      </c>
    </row>
    <row r="4" spans="1:3" x14ac:dyDescent="0.3">
      <c r="A4" s="1">
        <v>43466.083333333336</v>
      </c>
      <c r="B4">
        <v>23923.2027827846</v>
      </c>
      <c r="C4">
        <v>214.934078456744</v>
      </c>
    </row>
    <row r="5" spans="1:3" x14ac:dyDescent="0.3">
      <c r="A5" s="1">
        <v>43466.125</v>
      </c>
      <c r="B5">
        <v>29835.824722945101</v>
      </c>
      <c r="C5">
        <v>268.868424207126</v>
      </c>
    </row>
    <row r="6" spans="1:3" x14ac:dyDescent="0.3">
      <c r="A6" s="1">
        <v>43466.166666666664</v>
      </c>
      <c r="B6">
        <v>39361.634530993797</v>
      </c>
      <c r="C6">
        <v>355.76129411848302</v>
      </c>
    </row>
    <row r="7" spans="1:3" x14ac:dyDescent="0.3">
      <c r="A7" s="1">
        <v>43466.208333333336</v>
      </c>
      <c r="B7">
        <v>41875.113789239498</v>
      </c>
      <c r="C7">
        <v>378.68891041626102</v>
      </c>
    </row>
    <row r="8" spans="1:3" x14ac:dyDescent="0.3">
      <c r="A8" s="1">
        <v>43466.25</v>
      </c>
      <c r="B8">
        <v>40045.018286544102</v>
      </c>
      <c r="C8">
        <v>361.99504852003503</v>
      </c>
    </row>
    <row r="9" spans="1:3" x14ac:dyDescent="0.3">
      <c r="A9" s="1">
        <v>43466.291666666664</v>
      </c>
      <c r="B9">
        <v>38167.330863204799</v>
      </c>
      <c r="C9">
        <v>344.866818500411</v>
      </c>
    </row>
    <row r="10" spans="1:3" x14ac:dyDescent="0.3">
      <c r="A10" s="1">
        <v>43466.333333333336</v>
      </c>
      <c r="B10">
        <v>36317.040005582101</v>
      </c>
      <c r="C10">
        <v>327.98854773893999</v>
      </c>
    </row>
    <row r="11" spans="1:3" x14ac:dyDescent="0.3">
      <c r="A11" s="1">
        <v>43466.375</v>
      </c>
      <c r="B11">
        <v>34499.809763646197</v>
      </c>
      <c r="C11">
        <v>311.41185693390997</v>
      </c>
    </row>
    <row r="12" spans="1:3" x14ac:dyDescent="0.3">
      <c r="A12" s="1">
        <v>43466.416666666664</v>
      </c>
      <c r="B12">
        <v>33235.789462595298</v>
      </c>
      <c r="C12">
        <v>299.88153322766198</v>
      </c>
    </row>
    <row r="13" spans="1:3" x14ac:dyDescent="0.3">
      <c r="A13" s="1">
        <v>43466.458333333336</v>
      </c>
      <c r="B13">
        <v>32411.059479493601</v>
      </c>
      <c r="C13">
        <v>292.35832518033402</v>
      </c>
    </row>
    <row r="14" spans="1:3" x14ac:dyDescent="0.3">
      <c r="A14" s="1">
        <v>43466.5</v>
      </c>
      <c r="B14">
        <v>31798.576271805301</v>
      </c>
      <c r="C14">
        <v>286.77129419461602</v>
      </c>
    </row>
    <row r="15" spans="1:3" x14ac:dyDescent="0.3">
      <c r="A15" s="1">
        <v>43466.541666666664</v>
      </c>
      <c r="B15">
        <v>31711.114158543001</v>
      </c>
      <c r="C15">
        <v>285.97343584375602</v>
      </c>
    </row>
    <row r="16" spans="1:3" x14ac:dyDescent="0.3">
      <c r="A16" s="1">
        <v>43466.583333333336</v>
      </c>
      <c r="B16">
        <v>31951.545912430101</v>
      </c>
      <c r="C16">
        <v>288.16655784907198</v>
      </c>
    </row>
    <row r="17" spans="1:3" x14ac:dyDescent="0.3">
      <c r="A17" s="1">
        <v>43466.625</v>
      </c>
      <c r="B17">
        <v>32883.285760600702</v>
      </c>
      <c r="C17">
        <v>296.66567600651598</v>
      </c>
    </row>
    <row r="18" spans="1:3" x14ac:dyDescent="0.3">
      <c r="A18" s="1">
        <v>43466.666666666664</v>
      </c>
      <c r="B18">
        <v>33709.643568735701</v>
      </c>
      <c r="C18">
        <v>304.20344490135199</v>
      </c>
    </row>
    <row r="19" spans="1:3" x14ac:dyDescent="0.3">
      <c r="A19" s="1">
        <v>43466.708333333336</v>
      </c>
      <c r="B19">
        <v>34524.370481024998</v>
      </c>
      <c r="C19">
        <v>311.63518654015098</v>
      </c>
    </row>
    <row r="20" spans="1:3" x14ac:dyDescent="0.3">
      <c r="A20" s="1">
        <v>43466.75</v>
      </c>
      <c r="B20">
        <v>34772.389644686802</v>
      </c>
      <c r="C20">
        <v>313.897465132685</v>
      </c>
    </row>
    <row r="21" spans="1:3" x14ac:dyDescent="0.3">
      <c r="A21" s="1">
        <v>43466.791666666664</v>
      </c>
      <c r="B21">
        <v>33887.053195171196</v>
      </c>
      <c r="C21">
        <v>305.82138684922103</v>
      </c>
    </row>
    <row r="22" spans="1:3" x14ac:dyDescent="0.3">
      <c r="A22" s="1">
        <v>43466.833333333336</v>
      </c>
      <c r="B22">
        <v>30746.434366830399</v>
      </c>
      <c r="C22">
        <v>277.17291783936798</v>
      </c>
    </row>
    <row r="23" spans="1:3" x14ac:dyDescent="0.3">
      <c r="A23" s="1">
        <v>43466.875</v>
      </c>
      <c r="B23">
        <v>26206.653202087899</v>
      </c>
      <c r="C23">
        <v>235.761790116783</v>
      </c>
    </row>
    <row r="24" spans="1:3" x14ac:dyDescent="0.3">
      <c r="A24" s="1">
        <v>43466.916666666664</v>
      </c>
      <c r="B24">
        <v>22006.013570847099</v>
      </c>
      <c r="C24">
        <v>197.44468353689601</v>
      </c>
    </row>
    <row r="25" spans="1:3" x14ac:dyDescent="0.3">
      <c r="A25" s="1">
        <v>43466.958333333336</v>
      </c>
      <c r="B25">
        <v>20525.349307217701</v>
      </c>
      <c r="C25">
        <v>183.93875080073201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workbookViewId="0">
      <selection activeCell="F8" sqref="F8"/>
    </sheetView>
  </sheetViews>
  <sheetFormatPr defaultRowHeight="14.4" x14ac:dyDescent="0.3"/>
  <sheetData>
    <row r="1" spans="1:4" x14ac:dyDescent="0.3">
      <c r="A1" t="s">
        <v>154</v>
      </c>
      <c r="B1" t="s">
        <v>155</v>
      </c>
      <c r="C1" t="s">
        <v>156</v>
      </c>
      <c r="D1" t="s">
        <v>157</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row>
    <row r="27" spans="1:4" x14ac:dyDescent="0.3">
      <c r="A27" s="1"/>
    </row>
    <row r="28" spans="1:4" x14ac:dyDescent="0.3">
      <c r="A28" s="1"/>
    </row>
    <row r="29" spans="1:4" x14ac:dyDescent="0.3">
      <c r="A29" s="1"/>
    </row>
    <row r="30" spans="1:4" x14ac:dyDescent="0.3">
      <c r="A30" s="1"/>
    </row>
    <row r="31" spans="1:4" x14ac:dyDescent="0.3">
      <c r="A31" s="1"/>
    </row>
    <row r="32" spans="1:4"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11</vt:i4>
      </vt:variant>
    </vt:vector>
  </HeadingPairs>
  <TitlesOfParts>
    <vt:vector size="11" baseType="lpstr">
      <vt:lpstr>Carrier</vt:lpstr>
      <vt:lpstr>Bus</vt:lpstr>
      <vt:lpstr>Load</vt:lpstr>
      <vt:lpstr>Line</vt:lpstr>
      <vt:lpstr>Link</vt:lpstr>
      <vt:lpstr>Generator</vt:lpstr>
      <vt:lpstr>StorageUnit</vt:lpstr>
      <vt:lpstr>Store</vt:lpstr>
      <vt:lpstr>stores_t_e_max_pu</vt:lpstr>
      <vt:lpstr>loads_t_p_set</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2026-04-08T07:42:52Z</dcterms:modified>
</cp:coreProperties>
</file>