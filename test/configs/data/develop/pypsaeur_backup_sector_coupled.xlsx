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53222"/>
  <mc:AlternateContent xmlns:mc="http://schemas.openxmlformats.org/markup-compatibility/2006">
    <mc:Choice Requires="x15">
      <x15ac:absPath xmlns:x15ac="http://schemas.microsoft.com/office/spreadsheetml/2010/11/ac" url="C:\Users\aless\sms\transformation_pypsa_smspp\test\configs\data\develop\"/>
    </mc:Choice>
  </mc:AlternateContent>
  <bookViews>
    <workbookView xWindow="0" yWindow="0" windowWidth="23040" windowHeight="7824" firstSheet="1" activeTab="4"/>
  </bookViews>
  <sheets>
    <sheet name="Carrier" sheetId="1" r:id="rId1"/>
    <sheet name="Bus" sheetId="2" r:id="rId2"/>
    <sheet name="Load" sheetId="3" r:id="rId3"/>
    <sheet name="Line" sheetId="4" r:id="rId4"/>
    <sheet name="Generator" sheetId="5" r:id="rId5"/>
    <sheet name="Link" sheetId="6" r:id="rId6"/>
    <sheet name="StorageUnit" sheetId="7" r:id="rId7"/>
    <sheet name="Store" sheetId="8" r:id="rId8"/>
    <sheet name="loads_t_p_set" sheetId="9" r:id="rId9"/>
    <sheet name="generators_t_p_max_pu" sheetId="10" r:id="rId10"/>
    <sheet name="storage_units_t_inflow" sheetId="11" r:id="rId11"/>
    <sheet name="storage_units_t_spill" sheetId="12" r:id="rId12"/>
  </sheets>
  <calcPr calcId="152511"/>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N2" i="5" l="1"/>
  <c r="N3" i="5"/>
  <c r="N4" i="5"/>
  <c r="N5" i="5"/>
  <c r="N6" i="5"/>
  <c r="N7" i="5"/>
  <c r="N8" i="5"/>
  <c r="N9" i="5"/>
  <c r="N10" i="5"/>
  <c r="N11" i="5"/>
  <c r="N12" i="5"/>
  <c r="N13" i="5"/>
  <c r="N14" i="5"/>
  <c r="N15" i="5"/>
  <c r="N16" i="5"/>
  <c r="N17" i="5"/>
  <c r="N18" i="5"/>
  <c r="N19" i="5"/>
</calcChain>
</file>

<file path=xl/sharedStrings.xml><?xml version="1.0" encoding="utf-8"?>
<sst xmlns="http://schemas.openxmlformats.org/spreadsheetml/2006/main" count="895" uniqueCount="229">
  <si>
    <t>co2_emissions</t>
  </si>
  <si>
    <t>color</t>
  </si>
  <si>
    <t>nice_name</t>
  </si>
  <si>
    <t>max_growth</t>
  </si>
  <si>
    <t>max_relative_growth</t>
  </si>
  <si>
    <t>AC</t>
  </si>
  <si>
    <t>#70af1d</t>
  </si>
  <si>
    <t>inf</t>
  </si>
  <si>
    <t>DC</t>
  </si>
  <si>
    <t>#8a1caf</t>
  </si>
  <si>
    <t>CCGT</t>
  </si>
  <si>
    <t>#a85522</t>
  </si>
  <si>
    <t>Combined-Cycle Gas</t>
  </si>
  <si>
    <t>hydro</t>
  </si>
  <si>
    <t>#298c81</t>
  </si>
  <si>
    <t>Reservoir &amp; Dam</t>
  </si>
  <si>
    <t>solar</t>
  </si>
  <si>
    <t>#f9d002</t>
  </si>
  <si>
    <t>Solar</t>
  </si>
  <si>
    <t>onwind</t>
  </si>
  <si>
    <t>#235ebc</t>
  </si>
  <si>
    <t>Onshore Wind</t>
  </si>
  <si>
    <t>offwind-ac</t>
  </si>
  <si>
    <t>#6895dd</t>
  </si>
  <si>
    <t>Offshore Wind (AC)</t>
  </si>
  <si>
    <t>PHS</t>
  </si>
  <si>
    <t>#51dbcc</t>
  </si>
  <si>
    <t>Pumped Hydro Storage</t>
  </si>
  <si>
    <t>ror</t>
  </si>
  <si>
    <t>#3dbfb0</t>
  </si>
  <si>
    <t>Run of River</t>
  </si>
  <si>
    <t>battery</t>
  </si>
  <si>
    <t>#ace37f</t>
  </si>
  <si>
    <t>Battery Storage</t>
  </si>
  <si>
    <t>H2</t>
  </si>
  <si>
    <t>#bf13a0</t>
  </si>
  <si>
    <t>Hydrogen Storage</t>
  </si>
  <si>
    <t>battery charger</t>
  </si>
  <si>
    <t>#88a75b</t>
  </si>
  <si>
    <t>battery discharger</t>
  </si>
  <si>
    <t>#5d4e29</t>
  </si>
  <si>
    <t>#ff29d9</t>
  </si>
  <si>
    <t>v_nom</t>
  </si>
  <si>
    <t>type</t>
  </si>
  <si>
    <t>x</t>
  </si>
  <si>
    <t>y</t>
  </si>
  <si>
    <t>carrier</t>
  </si>
  <si>
    <t>unit</t>
  </si>
  <si>
    <t>location</t>
  </si>
  <si>
    <t>v_mag_pu_set</t>
  </si>
  <si>
    <t>v_mag_pu_min</t>
  </si>
  <si>
    <t>v_mag_pu_max</t>
  </si>
  <si>
    <t>control</t>
  </si>
  <si>
    <t>generator</t>
  </si>
  <si>
    <t>sub_network</t>
  </si>
  <si>
    <t>substation_off</t>
  </si>
  <si>
    <t>country</t>
  </si>
  <si>
    <t>substation_lv</t>
  </si>
  <si>
    <t>IT0 0</t>
  </si>
  <si>
    <t>Slack</t>
  </si>
  <si>
    <t>IT</t>
  </si>
  <si>
    <t>IT1 0</t>
  </si>
  <si>
    <t>IT0 0 H2</t>
  </si>
  <si>
    <t>PQ</t>
  </si>
  <si>
    <t>IT1 0 H2</t>
  </si>
  <si>
    <t>IT0 0 battery</t>
  </si>
  <si>
    <t>IT1 0 battery</t>
  </si>
  <si>
    <t>bus</t>
  </si>
  <si>
    <t>p_set</t>
  </si>
  <si>
    <t>q_set</t>
  </si>
  <si>
    <t>sign</t>
  </si>
  <si>
    <t>active</t>
  </si>
  <si>
    <t>True</t>
  </si>
  <si>
    <t>p_nom</t>
  </si>
  <si>
    <t>p_nom_mod</t>
  </si>
  <si>
    <t>p_nom_extendable</t>
  </si>
  <si>
    <t>p_nom_min</t>
  </si>
  <si>
    <t>p_nom_max</t>
  </si>
  <si>
    <t>p_min_pu</t>
  </si>
  <si>
    <t>p_max_pu</t>
  </si>
  <si>
    <t>e_sum_min</t>
  </si>
  <si>
    <t>e_sum_max</t>
  </si>
  <si>
    <t>marginal_cost</t>
  </si>
  <si>
    <t>marginal_cost_quadratic</t>
  </si>
  <si>
    <t>build_year</t>
  </si>
  <si>
    <t>lifetime</t>
  </si>
  <si>
    <t>capital_cost</t>
  </si>
  <si>
    <t>efficiency</t>
  </si>
  <si>
    <t>committable</t>
  </si>
  <si>
    <t>start_up_cost</t>
  </si>
  <si>
    <t>shut_down_cost</t>
  </si>
  <si>
    <t>stand_by_cost</t>
  </si>
  <si>
    <t>min_up_time</t>
  </si>
  <si>
    <t>min_down_time</t>
  </si>
  <si>
    <t>up_time_before</t>
  </si>
  <si>
    <t>down_time_before</t>
  </si>
  <si>
    <t>ramp_limit_up</t>
  </si>
  <si>
    <t>ramp_limit_down</t>
  </si>
  <si>
    <t>ramp_limit_start_up</t>
  </si>
  <si>
    <t>ramp_limit_shut_down</t>
  </si>
  <si>
    <t>weight</t>
  </si>
  <si>
    <t>p_nom_opt</t>
  </si>
  <si>
    <t>IT0 0 CCGT</t>
  </si>
  <si>
    <t>False</t>
  </si>
  <si>
    <t>IT1 0 CCGT</t>
  </si>
  <si>
    <t>IT0 0 0 solar</t>
  </si>
  <si>
    <t>IT1 0 0 solar</t>
  </si>
  <si>
    <t>IT0 0 0 onwind</t>
  </si>
  <si>
    <t>IT1 0 0 onwind</t>
  </si>
  <si>
    <t>IT0 0 0 offwind-ac</t>
  </si>
  <si>
    <t>IT1 0 0 offwind-ac</t>
  </si>
  <si>
    <t>IT0 0 ror</t>
  </si>
  <si>
    <t>IT1 0 ror</t>
  </si>
  <si>
    <t>slack</t>
  </si>
  <si>
    <t>bus0</t>
  </si>
  <si>
    <t>bus1</t>
  </si>
  <si>
    <t>length</t>
  </si>
  <si>
    <t>terrain_factor</t>
  </si>
  <si>
    <t>tags</t>
  </si>
  <si>
    <t>geometry</t>
  </si>
  <si>
    <t>dc</t>
  </si>
  <si>
    <t>project_status</t>
  </si>
  <si>
    <t>under_construction</t>
  </si>
  <si>
    <t>underground</t>
  </si>
  <si>
    <t>voltage</t>
  </si>
  <si>
    <t>underwater_fraction</t>
  </si>
  <si>
    <t>relation/8185711-500-DC</t>
  </si>
  <si>
    <t>relation/8185711</t>
  </si>
  <si>
    <t>LINESTRING (8.306507186431089 40.84110865715793, 8.3065975 40.8410218, 8.3076221 40.8404009, 8.3106852 40.8424889, 8.3135283 40.8447798, 8.3138102 40.8452217, 8.3336448 40.8763037, 8.3547585 40.919545, 8.3629986 40.9246682, 8.438959 40.9365347, 8.4637641 40.9377018, 8.4968945 40.9423702, 8.578777 40.9519001, 8.6672684 40.9695948, 8.7741276 41.0055206, 8.7916373 41.0131954, 8.8120433 41.0387725, 8.8171498 41.1805441, 8.9698212 41.2809838, 10.4425021 41.516806, 12.771601 41.3438287, 12.8105575 41.4138493, 12.8113675 41.429471, 12.8075105 41.4306293, 12.806985991114674 41.42980383291617)</t>
  </si>
  <si>
    <t>IT0 0 H2 Electrolysis</t>
  </si>
  <si>
    <t>IT1 0 H2 Electrolysis</t>
  </si>
  <si>
    <t>IT0 0 battery charger</t>
  </si>
  <si>
    <t>IT1 0 battery charger</t>
  </si>
  <si>
    <t>IT0 0 battery discharger</t>
  </si>
  <si>
    <t>IT1 0 battery discharger</t>
  </si>
  <si>
    <t>spill_cost</t>
  </si>
  <si>
    <t>marginal_cost_storage</t>
  </si>
  <si>
    <t>state_of_charge_initial</t>
  </si>
  <si>
    <t>state_of_charge_initial_per_period</t>
  </si>
  <si>
    <t>state_of_charge_set</t>
  </si>
  <si>
    <t>cyclic_state_of_charge</t>
  </si>
  <si>
    <t>cyclic_state_of_charge_per_period</t>
  </si>
  <si>
    <t>max_hours</t>
  </si>
  <si>
    <t>efficiency_store</t>
  </si>
  <si>
    <t>efficiency_dispatch</t>
  </si>
  <si>
    <t>standing_loss</t>
  </si>
  <si>
    <t>IT0 0 PHS</t>
  </si>
  <si>
    <t>IT1 0 PHS</t>
  </si>
  <si>
    <t>IT0 0 hydro</t>
  </si>
  <si>
    <t>IT1 0 hydro</t>
  </si>
  <si>
    <t>e_nom</t>
  </si>
  <si>
    <t>e_nom_mod</t>
  </si>
  <si>
    <t>e_nom_extendable</t>
  </si>
  <si>
    <t>e_nom_min</t>
  </si>
  <si>
    <t>e_nom_max</t>
  </si>
  <si>
    <t>e_min_pu</t>
  </si>
  <si>
    <t>e_max_pu</t>
  </si>
  <si>
    <t>e_initial</t>
  </si>
  <si>
    <t>e_initial_per_period</t>
  </si>
  <si>
    <t>e_cyclic</t>
  </si>
  <si>
    <t>e_cyclic_per_period</t>
  </si>
  <si>
    <t>e_nom_opt</t>
  </si>
  <si>
    <t>name</t>
  </si>
  <si>
    <t>none</t>
  </si>
  <si>
    <t>co2</t>
  </si>
  <si>
    <t>#f29dae</t>
  </si>
  <si>
    <t>co2 stored</t>
  </si>
  <si>
    <t>#f2385a</t>
  </si>
  <si>
    <t>co2 sequestered</t>
  </si>
  <si>
    <t>#f2682f</t>
  </si>
  <si>
    <t>gas</t>
  </si>
  <si>
    <t>#e05b09</t>
  </si>
  <si>
    <t>methanol</t>
  </si>
  <si>
    <t>#FF7B00</t>
  </si>
  <si>
    <t>Sabatier</t>
  </si>
  <si>
    <t>#9850ad</t>
  </si>
  <si>
    <t>CO2 pipeline</t>
  </si>
  <si>
    <t>#f5627f</t>
  </si>
  <si>
    <t>H2 Electrolysis</t>
  </si>
  <si>
    <t>OCGT</t>
  </si>
  <si>
    <t>#e0986c</t>
  </si>
  <si>
    <t>Open-Cycle Gas</t>
  </si>
  <si>
    <t>Slack Unit</t>
  </si>
  <si>
    <t>MWh_el</t>
  </si>
  <si>
    <t>EU</t>
  </si>
  <si>
    <t>slack_unit EU</t>
  </si>
  <si>
    <t>co2 atmosphere</t>
  </si>
  <si>
    <t>t_co2</t>
  </si>
  <si>
    <t>slack_unit co2 atmosphere</t>
  </si>
  <si>
    <t>IT0 0 co2 stored</t>
  </si>
  <si>
    <t>slack_unit IT0 0 co2 stored</t>
  </si>
  <si>
    <t>IT1 0 co2 stored</t>
  </si>
  <si>
    <t>slack_unit IT1 0 co2 stored</t>
  </si>
  <si>
    <t>electricity</t>
  </si>
  <si>
    <t>p_nom_set</t>
  </si>
  <si>
    <t>bus2</t>
  </si>
  <si>
    <t>efficiency2</t>
  </si>
  <si>
    <t>efficiency3</t>
  </si>
  <si>
    <t>reversed</t>
  </si>
  <si>
    <t>length_original</t>
  </si>
  <si>
    <t>IT0 0 co2 sequestered</t>
  </si>
  <si>
    <t>IT1 0 co2 sequestered</t>
  </si>
  <si>
    <t>IT0 0 OCGT</t>
  </si>
  <si>
    <t>EU gas</t>
  </si>
  <si>
    <t>IT1 0 OCGT</t>
  </si>
  <si>
    <t>IT0 0 Sabatier</t>
  </si>
  <si>
    <t>IT1 0 Sabatier</t>
  </si>
  <si>
    <t>CO2 pipeline IT0 0 -&gt; IT1 0</t>
  </si>
  <si>
    <t>relation/8185711-500-DC-reversed</t>
  </si>
  <si>
    <t>slack_unit IT0 0 co2 sequestered</t>
  </si>
  <si>
    <t>slack_unit IT1 0 co2 sequestered</t>
  </si>
  <si>
    <t>slack_unit EU gas</t>
  </si>
  <si>
    <t>slack_unit EU methanol</t>
  </si>
  <si>
    <t>EU methanol</t>
  </si>
  <si>
    <t>p_dispatch_set</t>
  </si>
  <si>
    <t>p_store_set</t>
  </si>
  <si>
    <t>e_nom_set</t>
  </si>
  <si>
    <t>e_set</t>
  </si>
  <si>
    <t>EU gas Store</t>
  </si>
  <si>
    <t>IT0 0 H2 Store</t>
  </si>
  <si>
    <t>H2 Store</t>
  </si>
  <si>
    <t>IT1 0 H2 Store</t>
  </si>
  <si>
    <t>EU methanol Store</t>
  </si>
  <si>
    <t>MWh_LHV</t>
  </si>
  <si>
    <t>MWh_th</t>
  </si>
  <si>
    <t>#110d63</t>
  </si>
  <si>
    <t>#110d64</t>
  </si>
  <si>
    <t>slack_unit IT0 0</t>
  </si>
  <si>
    <t>slack_unit IT1 0</t>
  </si>
</sst>
</file>

<file path=xl/styles.xml><?xml version="1.0" encoding="utf-8"?>
<styleSheet xmlns="http://schemas.openxmlformats.org/spreadsheetml/2006/main" xmlns:mc="http://schemas.openxmlformats.org/markup-compatibility/2006" xmlns:x14ac="http://schemas.microsoft.com/office/spreadsheetml/2009/9/ac" mc:Ignorable="x14ac">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11" fontId="0" fillId="0" borderId="0" xfId="0" applyNumberFormat="1"/>
  </cellXfs>
  <cellStyles count="1">
    <cellStyle name="Normale"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Tema di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28"/>
  <sheetViews>
    <sheetView workbookViewId="0">
      <selection sqref="A1:XFD1048576"/>
    </sheetView>
  </sheetViews>
  <sheetFormatPr defaultRowHeight="14.4" x14ac:dyDescent="0.3"/>
  <sheetData>
    <row r="1" spans="1:6" x14ac:dyDescent="0.3">
      <c r="A1" t="s">
        <v>162</v>
      </c>
      <c r="B1" t="s">
        <v>0</v>
      </c>
      <c r="C1" t="s">
        <v>1</v>
      </c>
      <c r="D1" t="s">
        <v>2</v>
      </c>
      <c r="E1" t="s">
        <v>3</v>
      </c>
      <c r="F1" t="s">
        <v>4</v>
      </c>
    </row>
    <row r="2" spans="1:6" x14ac:dyDescent="0.3">
      <c r="A2" t="s">
        <v>5</v>
      </c>
      <c r="B2">
        <v>0</v>
      </c>
      <c r="C2" t="s">
        <v>6</v>
      </c>
      <c r="D2" t="s">
        <v>5</v>
      </c>
      <c r="E2" t="s">
        <v>7</v>
      </c>
      <c r="F2">
        <v>0</v>
      </c>
    </row>
    <row r="3" spans="1:6" x14ac:dyDescent="0.3">
      <c r="A3" t="s">
        <v>8</v>
      </c>
      <c r="B3">
        <v>0</v>
      </c>
      <c r="C3" t="s">
        <v>9</v>
      </c>
      <c r="D3" t="s">
        <v>8</v>
      </c>
      <c r="E3" t="s">
        <v>7</v>
      </c>
      <c r="F3">
        <v>0</v>
      </c>
    </row>
    <row r="4" spans="1:6" x14ac:dyDescent="0.3">
      <c r="A4" t="s">
        <v>16</v>
      </c>
      <c r="B4">
        <v>0</v>
      </c>
      <c r="C4" t="s">
        <v>17</v>
      </c>
      <c r="D4" t="s">
        <v>18</v>
      </c>
      <c r="E4" t="s">
        <v>7</v>
      </c>
      <c r="F4">
        <v>0</v>
      </c>
    </row>
    <row r="5" spans="1:6" x14ac:dyDescent="0.3">
      <c r="A5" t="s">
        <v>22</v>
      </c>
      <c r="B5">
        <v>0</v>
      </c>
      <c r="C5" t="s">
        <v>23</v>
      </c>
      <c r="D5" t="s">
        <v>24</v>
      </c>
      <c r="E5" t="s">
        <v>7</v>
      </c>
      <c r="F5">
        <v>0</v>
      </c>
    </row>
    <row r="6" spans="1:6" x14ac:dyDescent="0.3">
      <c r="A6" t="s">
        <v>19</v>
      </c>
      <c r="B6">
        <v>0</v>
      </c>
      <c r="C6" t="s">
        <v>20</v>
      </c>
      <c r="D6" t="s">
        <v>21</v>
      </c>
      <c r="E6" t="s">
        <v>7</v>
      </c>
      <c r="F6">
        <v>0</v>
      </c>
    </row>
    <row r="7" spans="1:6" x14ac:dyDescent="0.3">
      <c r="A7" t="s">
        <v>13</v>
      </c>
      <c r="B7">
        <v>0</v>
      </c>
      <c r="C7" t="s">
        <v>14</v>
      </c>
      <c r="D7" t="s">
        <v>15</v>
      </c>
      <c r="E7" t="s">
        <v>7</v>
      </c>
      <c r="F7">
        <v>0</v>
      </c>
    </row>
    <row r="8" spans="1:6" x14ac:dyDescent="0.3">
      <c r="A8" t="s">
        <v>28</v>
      </c>
      <c r="B8">
        <v>0</v>
      </c>
      <c r="C8" t="s">
        <v>29</v>
      </c>
      <c r="D8" t="s">
        <v>30</v>
      </c>
      <c r="E8" t="s">
        <v>7</v>
      </c>
      <c r="F8">
        <v>0</v>
      </c>
    </row>
    <row r="9" spans="1:6" x14ac:dyDescent="0.3">
      <c r="A9" t="s">
        <v>25</v>
      </c>
      <c r="B9">
        <v>0</v>
      </c>
      <c r="C9" t="s">
        <v>26</v>
      </c>
      <c r="D9" t="s">
        <v>27</v>
      </c>
      <c r="E9" t="s">
        <v>7</v>
      </c>
      <c r="F9">
        <v>0</v>
      </c>
    </row>
    <row r="10" spans="1:6" x14ac:dyDescent="0.3">
      <c r="B10">
        <v>0</v>
      </c>
      <c r="E10" t="s">
        <v>7</v>
      </c>
      <c r="F10">
        <v>0</v>
      </c>
    </row>
    <row r="11" spans="1:6" x14ac:dyDescent="0.3">
      <c r="A11" t="s">
        <v>163</v>
      </c>
      <c r="B11">
        <v>0</v>
      </c>
      <c r="D11" t="s">
        <v>163</v>
      </c>
      <c r="E11" t="s">
        <v>7</v>
      </c>
      <c r="F11">
        <v>0</v>
      </c>
    </row>
    <row r="12" spans="1:6" x14ac:dyDescent="0.3">
      <c r="A12" t="s">
        <v>164</v>
      </c>
      <c r="B12">
        <v>-1</v>
      </c>
      <c r="C12" t="s">
        <v>165</v>
      </c>
      <c r="D12" t="s">
        <v>164</v>
      </c>
      <c r="E12" t="s">
        <v>7</v>
      </c>
      <c r="F12">
        <v>0</v>
      </c>
    </row>
    <row r="13" spans="1:6" x14ac:dyDescent="0.3">
      <c r="A13" t="s">
        <v>166</v>
      </c>
      <c r="B13">
        <v>0</v>
      </c>
      <c r="C13" t="s">
        <v>167</v>
      </c>
      <c r="D13" t="s">
        <v>166</v>
      </c>
      <c r="E13" t="s">
        <v>7</v>
      </c>
      <c r="F13">
        <v>0</v>
      </c>
    </row>
    <row r="14" spans="1:6" x14ac:dyDescent="0.3">
      <c r="A14" t="s">
        <v>168</v>
      </c>
      <c r="B14">
        <v>0</v>
      </c>
      <c r="C14" t="s">
        <v>169</v>
      </c>
      <c r="D14" t="s">
        <v>168</v>
      </c>
      <c r="E14" t="s">
        <v>7</v>
      </c>
      <c r="F14">
        <v>0</v>
      </c>
    </row>
    <row r="15" spans="1:6" x14ac:dyDescent="0.3">
      <c r="A15" t="s">
        <v>170</v>
      </c>
      <c r="B15">
        <v>0</v>
      </c>
      <c r="C15" t="s">
        <v>171</v>
      </c>
      <c r="D15" t="s">
        <v>170</v>
      </c>
      <c r="E15" t="s">
        <v>7</v>
      </c>
      <c r="F15">
        <v>0</v>
      </c>
    </row>
    <row r="16" spans="1:6" x14ac:dyDescent="0.3">
      <c r="A16" t="s">
        <v>34</v>
      </c>
      <c r="B16">
        <v>0</v>
      </c>
      <c r="C16" t="s">
        <v>35</v>
      </c>
      <c r="D16" t="s">
        <v>36</v>
      </c>
      <c r="E16" t="s">
        <v>7</v>
      </c>
      <c r="F16">
        <v>0</v>
      </c>
    </row>
    <row r="17" spans="1:6" x14ac:dyDescent="0.3">
      <c r="A17" t="s">
        <v>31</v>
      </c>
      <c r="B17">
        <v>0</v>
      </c>
      <c r="C17" t="s">
        <v>32</v>
      </c>
      <c r="D17" t="s">
        <v>33</v>
      </c>
      <c r="E17" t="s">
        <v>7</v>
      </c>
      <c r="F17">
        <v>0</v>
      </c>
    </row>
    <row r="18" spans="1:6" x14ac:dyDescent="0.3">
      <c r="A18" t="s">
        <v>172</v>
      </c>
      <c r="B18">
        <v>0</v>
      </c>
      <c r="C18" t="s">
        <v>173</v>
      </c>
      <c r="D18" t="s">
        <v>172</v>
      </c>
      <c r="E18" t="s">
        <v>7</v>
      </c>
      <c r="F18">
        <v>0</v>
      </c>
    </row>
    <row r="19" spans="1:6" x14ac:dyDescent="0.3">
      <c r="A19" t="s">
        <v>10</v>
      </c>
      <c r="B19">
        <v>0</v>
      </c>
      <c r="C19" t="s">
        <v>11</v>
      </c>
      <c r="D19" t="s">
        <v>12</v>
      </c>
      <c r="E19" t="s">
        <v>7</v>
      </c>
      <c r="F19">
        <v>0</v>
      </c>
    </row>
    <row r="20" spans="1:6" x14ac:dyDescent="0.3">
      <c r="A20" t="s">
        <v>174</v>
      </c>
      <c r="B20">
        <v>0</v>
      </c>
      <c r="C20" t="s">
        <v>175</v>
      </c>
      <c r="D20" t="s">
        <v>174</v>
      </c>
      <c r="E20" t="s">
        <v>7</v>
      </c>
      <c r="F20">
        <v>0</v>
      </c>
    </row>
    <row r="21" spans="1:6" x14ac:dyDescent="0.3">
      <c r="A21" t="s">
        <v>176</v>
      </c>
      <c r="B21">
        <v>0</v>
      </c>
      <c r="C21" t="s">
        <v>177</v>
      </c>
      <c r="D21" t="s">
        <v>176</v>
      </c>
      <c r="E21" t="s">
        <v>7</v>
      </c>
      <c r="F21">
        <v>0</v>
      </c>
    </row>
    <row r="22" spans="1:6" x14ac:dyDescent="0.3">
      <c r="A22" t="s">
        <v>178</v>
      </c>
      <c r="B22">
        <v>0</v>
      </c>
      <c r="C22" t="s">
        <v>41</v>
      </c>
      <c r="D22" t="s">
        <v>178</v>
      </c>
      <c r="E22" t="s">
        <v>7</v>
      </c>
      <c r="F22">
        <v>0</v>
      </c>
    </row>
    <row r="23" spans="1:6" x14ac:dyDescent="0.3">
      <c r="A23" t="s">
        <v>39</v>
      </c>
      <c r="B23">
        <v>0</v>
      </c>
      <c r="C23" t="s">
        <v>40</v>
      </c>
      <c r="D23" t="s">
        <v>39</v>
      </c>
      <c r="E23" t="s">
        <v>7</v>
      </c>
      <c r="F23">
        <v>0</v>
      </c>
    </row>
    <row r="24" spans="1:6" x14ac:dyDescent="0.3">
      <c r="A24" t="s">
        <v>179</v>
      </c>
      <c r="B24">
        <v>0</v>
      </c>
      <c r="C24" t="s">
        <v>180</v>
      </c>
      <c r="D24" t="s">
        <v>181</v>
      </c>
      <c r="E24" t="s">
        <v>7</v>
      </c>
      <c r="F24">
        <v>0</v>
      </c>
    </row>
    <row r="25" spans="1:6" x14ac:dyDescent="0.3">
      <c r="A25" t="s">
        <v>37</v>
      </c>
      <c r="B25">
        <v>0</v>
      </c>
      <c r="C25" t="s">
        <v>38</v>
      </c>
      <c r="D25" t="s">
        <v>37</v>
      </c>
      <c r="E25" t="s">
        <v>7</v>
      </c>
      <c r="F25">
        <v>0</v>
      </c>
    </row>
    <row r="26" spans="1:6" x14ac:dyDescent="0.3">
      <c r="A26" t="s">
        <v>220</v>
      </c>
      <c r="B26">
        <v>0</v>
      </c>
      <c r="C26" t="s">
        <v>35</v>
      </c>
      <c r="D26" t="s">
        <v>220</v>
      </c>
      <c r="E26" t="s">
        <v>7</v>
      </c>
      <c r="F26">
        <v>0</v>
      </c>
    </row>
    <row r="27" spans="1:6" x14ac:dyDescent="0.3">
      <c r="A27" t="s">
        <v>193</v>
      </c>
      <c r="B27">
        <v>0</v>
      </c>
      <c r="C27" t="s">
        <v>225</v>
      </c>
      <c r="D27" t="s">
        <v>193</v>
      </c>
      <c r="E27" t="s">
        <v>7</v>
      </c>
      <c r="F27">
        <v>0</v>
      </c>
    </row>
    <row r="28" spans="1:6" x14ac:dyDescent="0.3">
      <c r="A28" t="s">
        <v>113</v>
      </c>
      <c r="B28">
        <v>0</v>
      </c>
      <c r="C28" t="s">
        <v>226</v>
      </c>
      <c r="D28" t="s">
        <v>182</v>
      </c>
      <c r="E28" t="s">
        <v>7</v>
      </c>
      <c r="F28">
        <v>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15"/>
  <sheetViews>
    <sheetView workbookViewId="0">
      <selection activeCell="I19" sqref="I19"/>
    </sheetView>
  </sheetViews>
  <sheetFormatPr defaultRowHeight="14.4" x14ac:dyDescent="0.3"/>
  <sheetData>
    <row r="1" spans="1:17" x14ac:dyDescent="0.3">
      <c r="A1" t="s">
        <v>162</v>
      </c>
      <c r="B1" t="s">
        <v>42</v>
      </c>
      <c r="C1" t="s">
        <v>43</v>
      </c>
      <c r="D1" t="s">
        <v>44</v>
      </c>
      <c r="E1" t="s">
        <v>45</v>
      </c>
      <c r="F1" t="s">
        <v>46</v>
      </c>
      <c r="G1" t="s">
        <v>47</v>
      </c>
      <c r="H1" t="s">
        <v>48</v>
      </c>
      <c r="I1" t="s">
        <v>49</v>
      </c>
      <c r="J1" t="s">
        <v>50</v>
      </c>
      <c r="K1" t="s">
        <v>51</v>
      </c>
      <c r="L1" t="s">
        <v>52</v>
      </c>
      <c r="M1" t="s">
        <v>53</v>
      </c>
      <c r="N1" t="s">
        <v>54</v>
      </c>
      <c r="O1" t="s">
        <v>56</v>
      </c>
      <c r="P1" t="s">
        <v>57</v>
      </c>
      <c r="Q1" t="s">
        <v>55</v>
      </c>
    </row>
    <row r="2" spans="1:17" x14ac:dyDescent="0.3">
      <c r="A2" t="s">
        <v>58</v>
      </c>
      <c r="B2">
        <v>380</v>
      </c>
      <c r="D2">
        <v>11.861807419676801</v>
      </c>
      <c r="E2">
        <v>43.502700216278299</v>
      </c>
      <c r="F2" t="s">
        <v>5</v>
      </c>
      <c r="G2" t="s">
        <v>183</v>
      </c>
      <c r="H2" t="s">
        <v>58</v>
      </c>
      <c r="I2">
        <v>1</v>
      </c>
      <c r="J2">
        <v>0</v>
      </c>
      <c r="K2" t="s">
        <v>7</v>
      </c>
      <c r="L2" t="s">
        <v>59</v>
      </c>
      <c r="M2" t="s">
        <v>105</v>
      </c>
      <c r="N2">
        <v>0</v>
      </c>
      <c r="O2" t="s">
        <v>60</v>
      </c>
      <c r="P2">
        <v>1</v>
      </c>
      <c r="Q2">
        <v>1</v>
      </c>
    </row>
    <row r="3" spans="1:17" x14ac:dyDescent="0.3">
      <c r="A3" t="s">
        <v>61</v>
      </c>
      <c r="B3">
        <v>380</v>
      </c>
      <c r="D3">
        <v>8.7398246778425897</v>
      </c>
      <c r="E3">
        <v>40.032889929774797</v>
      </c>
      <c r="F3" t="s">
        <v>5</v>
      </c>
      <c r="G3" t="s">
        <v>183</v>
      </c>
      <c r="H3" t="s">
        <v>61</v>
      </c>
      <c r="I3">
        <v>1</v>
      </c>
      <c r="J3">
        <v>0</v>
      </c>
      <c r="K3" t="s">
        <v>7</v>
      </c>
      <c r="L3" t="s">
        <v>59</v>
      </c>
      <c r="M3" t="s">
        <v>106</v>
      </c>
      <c r="N3">
        <v>1</v>
      </c>
      <c r="O3" t="s">
        <v>60</v>
      </c>
      <c r="P3">
        <v>1</v>
      </c>
      <c r="Q3">
        <v>1</v>
      </c>
    </row>
    <row r="4" spans="1:17" x14ac:dyDescent="0.3">
      <c r="A4" t="s">
        <v>184</v>
      </c>
      <c r="B4">
        <v>1</v>
      </c>
      <c r="D4">
        <v>-5.5</v>
      </c>
      <c r="E4">
        <v>46</v>
      </c>
      <c r="F4" t="s">
        <v>163</v>
      </c>
      <c r="H4" t="s">
        <v>184</v>
      </c>
      <c r="I4">
        <v>1</v>
      </c>
      <c r="J4">
        <v>0</v>
      </c>
      <c r="K4" t="s">
        <v>7</v>
      </c>
      <c r="L4" t="s">
        <v>59</v>
      </c>
      <c r="M4" t="s">
        <v>185</v>
      </c>
      <c r="N4">
        <v>2</v>
      </c>
    </row>
    <row r="5" spans="1:17" x14ac:dyDescent="0.3">
      <c r="A5" t="s">
        <v>186</v>
      </c>
      <c r="B5">
        <v>1</v>
      </c>
      <c r="D5">
        <v>-5.5</v>
      </c>
      <c r="E5">
        <v>46</v>
      </c>
      <c r="F5" t="s">
        <v>164</v>
      </c>
      <c r="G5" t="s">
        <v>187</v>
      </c>
      <c r="H5" t="s">
        <v>184</v>
      </c>
      <c r="I5">
        <v>1</v>
      </c>
      <c r="J5">
        <v>0</v>
      </c>
      <c r="K5" t="s">
        <v>7</v>
      </c>
      <c r="L5" t="s">
        <v>59</v>
      </c>
      <c r="M5" t="s">
        <v>188</v>
      </c>
      <c r="N5">
        <v>3</v>
      </c>
    </row>
    <row r="6" spans="1:17" x14ac:dyDescent="0.3">
      <c r="A6" t="s">
        <v>189</v>
      </c>
      <c r="B6">
        <v>1</v>
      </c>
      <c r="D6">
        <v>11.861807419676801</v>
      </c>
      <c r="E6">
        <v>43.502700216278299</v>
      </c>
      <c r="F6" t="s">
        <v>166</v>
      </c>
      <c r="G6" t="s">
        <v>187</v>
      </c>
      <c r="H6" t="s">
        <v>58</v>
      </c>
      <c r="I6">
        <v>1</v>
      </c>
      <c r="J6">
        <v>0</v>
      </c>
      <c r="K6" t="s">
        <v>7</v>
      </c>
      <c r="L6" t="s">
        <v>59</v>
      </c>
      <c r="M6" t="s">
        <v>190</v>
      </c>
      <c r="N6">
        <v>4</v>
      </c>
      <c r="O6" t="s">
        <v>60</v>
      </c>
    </row>
    <row r="7" spans="1:17" x14ac:dyDescent="0.3">
      <c r="A7" t="s">
        <v>191</v>
      </c>
      <c r="B7">
        <v>1</v>
      </c>
      <c r="D7">
        <v>8.7398246778425897</v>
      </c>
      <c r="E7">
        <v>40.032889929774797</v>
      </c>
      <c r="F7" t="s">
        <v>166</v>
      </c>
      <c r="G7" t="s">
        <v>187</v>
      </c>
      <c r="H7" t="s">
        <v>61</v>
      </c>
      <c r="I7">
        <v>1</v>
      </c>
      <c r="J7">
        <v>0</v>
      </c>
      <c r="K7" t="s">
        <v>7</v>
      </c>
      <c r="L7" t="s">
        <v>59</v>
      </c>
      <c r="M7" t="s">
        <v>192</v>
      </c>
      <c r="N7">
        <v>5</v>
      </c>
      <c r="O7" t="s">
        <v>60</v>
      </c>
    </row>
    <row r="8" spans="1:17" x14ac:dyDescent="0.3">
      <c r="A8" t="s">
        <v>200</v>
      </c>
      <c r="B8">
        <v>1</v>
      </c>
      <c r="D8">
        <v>11.861807419676801</v>
      </c>
      <c r="E8">
        <v>43.502700216278299</v>
      </c>
      <c r="F8" t="s">
        <v>168</v>
      </c>
      <c r="G8" t="s">
        <v>187</v>
      </c>
      <c r="H8" t="s">
        <v>58</v>
      </c>
      <c r="I8">
        <v>1</v>
      </c>
      <c r="J8">
        <v>0</v>
      </c>
      <c r="K8" t="s">
        <v>7</v>
      </c>
      <c r="L8" t="s">
        <v>59</v>
      </c>
      <c r="M8" t="s">
        <v>209</v>
      </c>
      <c r="N8">
        <v>6</v>
      </c>
      <c r="O8" t="s">
        <v>60</v>
      </c>
    </row>
    <row r="9" spans="1:17" x14ac:dyDescent="0.3">
      <c r="A9" t="s">
        <v>201</v>
      </c>
      <c r="B9">
        <v>1</v>
      </c>
      <c r="D9">
        <v>8.7398246778425897</v>
      </c>
      <c r="E9">
        <v>40.032889929774797</v>
      </c>
      <c r="F9" t="s">
        <v>168</v>
      </c>
      <c r="G9" t="s">
        <v>187</v>
      </c>
      <c r="H9" t="s">
        <v>61</v>
      </c>
      <c r="I9">
        <v>1</v>
      </c>
      <c r="J9">
        <v>0</v>
      </c>
      <c r="K9" t="s">
        <v>7</v>
      </c>
      <c r="L9" t="s">
        <v>59</v>
      </c>
      <c r="M9" t="s">
        <v>210</v>
      </c>
      <c r="N9">
        <v>7</v>
      </c>
      <c r="O9" t="s">
        <v>60</v>
      </c>
    </row>
    <row r="10" spans="1:17" x14ac:dyDescent="0.3">
      <c r="A10" t="s">
        <v>203</v>
      </c>
      <c r="B10">
        <v>1</v>
      </c>
      <c r="D10">
        <v>-5.5</v>
      </c>
      <c r="E10">
        <v>46</v>
      </c>
      <c r="F10" t="s">
        <v>170</v>
      </c>
      <c r="G10" t="s">
        <v>223</v>
      </c>
      <c r="H10" t="s">
        <v>184</v>
      </c>
      <c r="I10">
        <v>1</v>
      </c>
      <c r="J10">
        <v>0</v>
      </c>
      <c r="K10" t="s">
        <v>7</v>
      </c>
      <c r="L10" t="s">
        <v>59</v>
      </c>
      <c r="M10" t="s">
        <v>211</v>
      </c>
      <c r="N10">
        <v>8</v>
      </c>
    </row>
    <row r="11" spans="1:17" x14ac:dyDescent="0.3">
      <c r="A11" t="s">
        <v>62</v>
      </c>
      <c r="B11">
        <v>1</v>
      </c>
      <c r="D11">
        <v>11.861807419676801</v>
      </c>
      <c r="E11">
        <v>43.502700216278299</v>
      </c>
      <c r="F11" t="s">
        <v>34</v>
      </c>
      <c r="G11" t="s">
        <v>223</v>
      </c>
      <c r="H11" t="s">
        <v>58</v>
      </c>
      <c r="I11">
        <v>1</v>
      </c>
      <c r="J11">
        <v>0</v>
      </c>
      <c r="K11" t="s">
        <v>7</v>
      </c>
      <c r="L11" t="s">
        <v>59</v>
      </c>
      <c r="N11">
        <v>9</v>
      </c>
      <c r="O11" t="s">
        <v>60</v>
      </c>
    </row>
    <row r="12" spans="1:17" x14ac:dyDescent="0.3">
      <c r="A12" t="s">
        <v>64</v>
      </c>
      <c r="B12">
        <v>1</v>
      </c>
      <c r="D12">
        <v>8.7398246778425897</v>
      </c>
      <c r="E12">
        <v>40.032889929774797</v>
      </c>
      <c r="F12" t="s">
        <v>34</v>
      </c>
      <c r="G12" t="s">
        <v>223</v>
      </c>
      <c r="H12" t="s">
        <v>61</v>
      </c>
      <c r="I12">
        <v>1</v>
      </c>
      <c r="J12">
        <v>0</v>
      </c>
      <c r="K12" t="s">
        <v>7</v>
      </c>
      <c r="L12" t="s">
        <v>59</v>
      </c>
      <c r="N12">
        <v>10</v>
      </c>
      <c r="O12" t="s">
        <v>60</v>
      </c>
    </row>
    <row r="13" spans="1:17" x14ac:dyDescent="0.3">
      <c r="A13" t="s">
        <v>65</v>
      </c>
      <c r="B13">
        <v>1</v>
      </c>
      <c r="D13">
        <v>11.861807419676801</v>
      </c>
      <c r="E13">
        <v>43.502700216278299</v>
      </c>
      <c r="F13" t="s">
        <v>31</v>
      </c>
      <c r="G13" t="s">
        <v>183</v>
      </c>
      <c r="H13" t="s">
        <v>58</v>
      </c>
      <c r="I13">
        <v>1</v>
      </c>
      <c r="J13">
        <v>0</v>
      </c>
      <c r="K13" t="s">
        <v>7</v>
      </c>
      <c r="L13" t="s">
        <v>59</v>
      </c>
      <c r="N13">
        <v>11</v>
      </c>
      <c r="O13" t="s">
        <v>60</v>
      </c>
    </row>
    <row r="14" spans="1:17" x14ac:dyDescent="0.3">
      <c r="A14" t="s">
        <v>66</v>
      </c>
      <c r="B14">
        <v>1</v>
      </c>
      <c r="D14">
        <v>8.7398246778425897</v>
      </c>
      <c r="E14">
        <v>40.032889929774797</v>
      </c>
      <c r="F14" t="s">
        <v>31</v>
      </c>
      <c r="G14" t="s">
        <v>183</v>
      </c>
      <c r="H14" t="s">
        <v>61</v>
      </c>
      <c r="I14">
        <v>1</v>
      </c>
      <c r="J14">
        <v>0</v>
      </c>
      <c r="K14" t="s">
        <v>7</v>
      </c>
      <c r="L14" t="s">
        <v>59</v>
      </c>
      <c r="N14">
        <v>12</v>
      </c>
      <c r="O14" t="s">
        <v>60</v>
      </c>
    </row>
    <row r="15" spans="1:17" x14ac:dyDescent="0.3">
      <c r="A15" t="s">
        <v>213</v>
      </c>
      <c r="B15">
        <v>1</v>
      </c>
      <c r="D15">
        <v>-5.5</v>
      </c>
      <c r="E15">
        <v>46</v>
      </c>
      <c r="F15" t="s">
        <v>172</v>
      </c>
      <c r="G15" t="s">
        <v>224</v>
      </c>
      <c r="H15" t="s">
        <v>184</v>
      </c>
      <c r="I15">
        <v>1</v>
      </c>
      <c r="J15">
        <v>0</v>
      </c>
      <c r="K15" t="s">
        <v>7</v>
      </c>
      <c r="L15" t="s">
        <v>59</v>
      </c>
      <c r="M15" t="s">
        <v>212</v>
      </c>
      <c r="N15">
        <v>13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3"/>
  <sheetViews>
    <sheetView workbookViewId="0">
      <selection activeCell="E19" sqref="E19"/>
    </sheetView>
  </sheetViews>
  <sheetFormatPr defaultRowHeight="14.4" x14ac:dyDescent="0.3"/>
  <sheetData>
    <row r="1" spans="1:8" x14ac:dyDescent="0.3">
      <c r="A1" t="s">
        <v>162</v>
      </c>
      <c r="B1" t="s">
        <v>67</v>
      </c>
      <c r="C1" t="s">
        <v>46</v>
      </c>
      <c r="D1" t="s">
        <v>43</v>
      </c>
      <c r="E1" t="s">
        <v>68</v>
      </c>
      <c r="F1" t="s">
        <v>69</v>
      </c>
      <c r="G1" t="s">
        <v>70</v>
      </c>
      <c r="H1" t="s">
        <v>71</v>
      </c>
    </row>
    <row r="2" spans="1:8" x14ac:dyDescent="0.3">
      <c r="A2" t="s">
        <v>58</v>
      </c>
      <c r="B2" t="s">
        <v>58</v>
      </c>
      <c r="C2" t="s">
        <v>193</v>
      </c>
      <c r="E2">
        <v>0</v>
      </c>
      <c r="F2">
        <v>0</v>
      </c>
      <c r="G2">
        <v>-1</v>
      </c>
      <c r="H2" t="s">
        <v>72</v>
      </c>
    </row>
    <row r="3" spans="1:8" x14ac:dyDescent="0.3">
      <c r="A3" t="s">
        <v>61</v>
      </c>
      <c r="B3" t="s">
        <v>61</v>
      </c>
      <c r="C3" t="s">
        <v>193</v>
      </c>
      <c r="E3">
        <v>0</v>
      </c>
      <c r="F3">
        <v>0</v>
      </c>
      <c r="G3">
        <v>-1</v>
      </c>
      <c r="H3" t="s">
        <v>72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heetViews>
  <sheetFormatPr defaultRowHeight="14.4" x14ac:dyDescent="0.3"/>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M19"/>
  <sheetViews>
    <sheetView tabSelected="1" workbookViewId="0">
      <selection activeCell="E15" sqref="E15"/>
    </sheetView>
  </sheetViews>
  <sheetFormatPr defaultRowHeight="14.4" x14ac:dyDescent="0.3"/>
  <sheetData>
    <row r="1" spans="1:39" x14ac:dyDescent="0.3">
      <c r="A1" t="s">
        <v>162</v>
      </c>
      <c r="B1" t="s">
        <v>67</v>
      </c>
      <c r="C1" t="s">
        <v>52</v>
      </c>
      <c r="D1" t="s">
        <v>43</v>
      </c>
      <c r="E1" t="s">
        <v>73</v>
      </c>
      <c r="F1" t="s">
        <v>74</v>
      </c>
      <c r="G1" t="s">
        <v>75</v>
      </c>
      <c r="H1" t="s">
        <v>76</v>
      </c>
      <c r="I1" t="s">
        <v>77</v>
      </c>
      <c r="J1" t="s">
        <v>194</v>
      </c>
      <c r="K1" t="s">
        <v>78</v>
      </c>
      <c r="L1" t="s">
        <v>79</v>
      </c>
      <c r="M1" t="s">
        <v>68</v>
      </c>
      <c r="N1" t="s">
        <v>80</v>
      </c>
      <c r="O1" t="s">
        <v>81</v>
      </c>
      <c r="P1" t="s">
        <v>69</v>
      </c>
      <c r="Q1" t="s">
        <v>70</v>
      </c>
      <c r="R1" t="s">
        <v>46</v>
      </c>
      <c r="S1" t="s">
        <v>82</v>
      </c>
      <c r="T1" t="s">
        <v>83</v>
      </c>
      <c r="U1" t="s">
        <v>71</v>
      </c>
      <c r="V1" t="s">
        <v>84</v>
      </c>
      <c r="W1" t="s">
        <v>85</v>
      </c>
      <c r="X1" t="s">
        <v>86</v>
      </c>
      <c r="Y1" t="s">
        <v>87</v>
      </c>
      <c r="Z1" t="s">
        <v>88</v>
      </c>
      <c r="AA1" t="s">
        <v>89</v>
      </c>
      <c r="AB1" t="s">
        <v>90</v>
      </c>
      <c r="AC1" t="s">
        <v>91</v>
      </c>
      <c r="AD1" t="s">
        <v>92</v>
      </c>
      <c r="AE1" t="s">
        <v>93</v>
      </c>
      <c r="AF1" t="s">
        <v>94</v>
      </c>
      <c r="AG1" t="s">
        <v>95</v>
      </c>
      <c r="AH1" t="s">
        <v>96</v>
      </c>
      <c r="AI1" t="s">
        <v>97</v>
      </c>
      <c r="AJ1" t="s">
        <v>98</v>
      </c>
      <c r="AK1" t="s">
        <v>99</v>
      </c>
      <c r="AL1" t="s">
        <v>100</v>
      </c>
      <c r="AM1" t="s">
        <v>101</v>
      </c>
    </row>
    <row r="2" spans="1:39" x14ac:dyDescent="0.3">
      <c r="A2" t="s">
        <v>105</v>
      </c>
      <c r="B2" t="s">
        <v>58</v>
      </c>
      <c r="C2" t="s">
        <v>59</v>
      </c>
      <c r="E2">
        <v>20326.975357459101</v>
      </c>
      <c r="F2">
        <v>0</v>
      </c>
      <c r="G2" t="s">
        <v>72</v>
      </c>
      <c r="H2">
        <v>20326.975357459101</v>
      </c>
      <c r="I2">
        <v>725545.55299178895</v>
      </c>
      <c r="K2">
        <v>0</v>
      </c>
      <c r="L2">
        <v>1</v>
      </c>
      <c r="N2" t="e">
        <f>-inf</f>
        <v>#NAME?</v>
      </c>
      <c r="O2" t="s">
        <v>7</v>
      </c>
      <c r="P2">
        <v>0</v>
      </c>
      <c r="Q2">
        <v>1</v>
      </c>
      <c r="R2" t="s">
        <v>16</v>
      </c>
      <c r="S2">
        <v>0.01</v>
      </c>
      <c r="T2">
        <v>0</v>
      </c>
      <c r="U2" t="s">
        <v>72</v>
      </c>
      <c r="V2">
        <v>0</v>
      </c>
      <c r="W2">
        <v>40</v>
      </c>
      <c r="X2">
        <v>118.963000579108</v>
      </c>
      <c r="Y2">
        <v>1</v>
      </c>
      <c r="Z2" t="s">
        <v>103</v>
      </c>
      <c r="AA2">
        <v>0</v>
      </c>
      <c r="AB2">
        <v>0</v>
      </c>
      <c r="AC2">
        <v>0</v>
      </c>
      <c r="AD2">
        <v>0</v>
      </c>
      <c r="AE2">
        <v>0</v>
      </c>
      <c r="AF2">
        <v>1</v>
      </c>
      <c r="AG2">
        <v>0</v>
      </c>
      <c r="AJ2">
        <v>1</v>
      </c>
      <c r="AK2">
        <v>1</v>
      </c>
      <c r="AL2">
        <v>1</v>
      </c>
      <c r="AM2">
        <v>266555.75684061297</v>
      </c>
    </row>
    <row r="3" spans="1:39" x14ac:dyDescent="0.3">
      <c r="A3" t="s">
        <v>106</v>
      </c>
      <c r="B3" t="s">
        <v>61</v>
      </c>
      <c r="C3" t="s">
        <v>59</v>
      </c>
      <c r="E3">
        <v>1323.0646425408199</v>
      </c>
      <c r="F3">
        <v>0</v>
      </c>
      <c r="G3" t="s">
        <v>72</v>
      </c>
      <c r="H3">
        <v>1323.0646425408199</v>
      </c>
      <c r="I3">
        <v>38969.282766676697</v>
      </c>
      <c r="K3">
        <v>0</v>
      </c>
      <c r="L3">
        <v>1</v>
      </c>
      <c r="N3" t="e">
        <f>-inf</f>
        <v>#NAME?</v>
      </c>
      <c r="O3" t="s">
        <v>7</v>
      </c>
      <c r="P3">
        <v>0</v>
      </c>
      <c r="Q3">
        <v>1</v>
      </c>
      <c r="R3" t="s">
        <v>16</v>
      </c>
      <c r="S3">
        <v>0.01</v>
      </c>
      <c r="T3">
        <v>0</v>
      </c>
      <c r="U3" t="s">
        <v>72</v>
      </c>
      <c r="V3">
        <v>0</v>
      </c>
      <c r="W3">
        <v>40</v>
      </c>
      <c r="X3">
        <v>118.963000579108</v>
      </c>
      <c r="Y3">
        <v>1</v>
      </c>
      <c r="Z3" t="s">
        <v>103</v>
      </c>
      <c r="AA3">
        <v>0</v>
      </c>
      <c r="AB3">
        <v>0</v>
      </c>
      <c r="AC3">
        <v>0</v>
      </c>
      <c r="AD3">
        <v>0</v>
      </c>
      <c r="AE3">
        <v>0</v>
      </c>
      <c r="AF3">
        <v>1</v>
      </c>
      <c r="AG3">
        <v>0</v>
      </c>
      <c r="AJ3">
        <v>1</v>
      </c>
      <c r="AK3">
        <v>1</v>
      </c>
      <c r="AL3">
        <v>1</v>
      </c>
      <c r="AM3">
        <v>1323.0646425699999</v>
      </c>
    </row>
    <row r="4" spans="1:39" x14ac:dyDescent="0.3">
      <c r="A4" t="s">
        <v>109</v>
      </c>
      <c r="B4" t="s">
        <v>58</v>
      </c>
      <c r="C4" t="s">
        <v>63</v>
      </c>
      <c r="E4">
        <v>30</v>
      </c>
      <c r="F4">
        <v>0</v>
      </c>
      <c r="G4" t="s">
        <v>103</v>
      </c>
      <c r="H4">
        <v>30</v>
      </c>
      <c r="I4">
        <v>43562.836816518196</v>
      </c>
      <c r="K4">
        <v>0</v>
      </c>
      <c r="L4">
        <v>1</v>
      </c>
      <c r="N4" t="e">
        <f>-inf</f>
        <v>#NAME?</v>
      </c>
      <c r="O4" t="s">
        <v>7</v>
      </c>
      <c r="P4">
        <v>0</v>
      </c>
      <c r="Q4">
        <v>1</v>
      </c>
      <c r="R4" t="s">
        <v>22</v>
      </c>
      <c r="S4">
        <v>1.4999999999999999E-2</v>
      </c>
      <c r="T4">
        <v>0</v>
      </c>
      <c r="U4" t="s">
        <v>72</v>
      </c>
      <c r="V4">
        <v>0</v>
      </c>
      <c r="W4">
        <v>30</v>
      </c>
      <c r="X4">
        <v>501.791962515796</v>
      </c>
      <c r="Y4">
        <v>1</v>
      </c>
      <c r="Z4" t="s">
        <v>103</v>
      </c>
      <c r="AA4">
        <v>0</v>
      </c>
      <c r="AB4">
        <v>0</v>
      </c>
      <c r="AC4">
        <v>0</v>
      </c>
      <c r="AD4">
        <v>0</v>
      </c>
      <c r="AE4">
        <v>0</v>
      </c>
      <c r="AF4">
        <v>1</v>
      </c>
      <c r="AG4">
        <v>0</v>
      </c>
      <c r="AJ4">
        <v>1</v>
      </c>
      <c r="AK4">
        <v>1</v>
      </c>
      <c r="AL4">
        <v>1</v>
      </c>
      <c r="AM4">
        <v>30</v>
      </c>
    </row>
    <row r="5" spans="1:39" x14ac:dyDescent="0.3">
      <c r="A5" t="s">
        <v>110</v>
      </c>
      <c r="B5" t="s">
        <v>61</v>
      </c>
      <c r="C5" t="s">
        <v>63</v>
      </c>
      <c r="E5">
        <v>0</v>
      </c>
      <c r="F5">
        <v>0</v>
      </c>
      <c r="G5" t="s">
        <v>103</v>
      </c>
      <c r="H5">
        <v>0</v>
      </c>
      <c r="I5">
        <v>6734.7907248902802</v>
      </c>
      <c r="K5">
        <v>0</v>
      </c>
      <c r="L5">
        <v>1</v>
      </c>
      <c r="N5" t="e">
        <f>-inf</f>
        <v>#NAME?</v>
      </c>
      <c r="O5" t="s">
        <v>7</v>
      </c>
      <c r="P5">
        <v>0</v>
      </c>
      <c r="Q5">
        <v>1</v>
      </c>
      <c r="R5" t="s">
        <v>22</v>
      </c>
      <c r="S5">
        <v>1.4999999999999999E-2</v>
      </c>
      <c r="T5">
        <v>0</v>
      </c>
      <c r="U5" t="s">
        <v>72</v>
      </c>
      <c r="V5">
        <v>0</v>
      </c>
      <c r="W5">
        <v>30</v>
      </c>
      <c r="X5">
        <v>499.12307897645297</v>
      </c>
      <c r="Y5">
        <v>1</v>
      </c>
      <c r="Z5" t="s">
        <v>103</v>
      </c>
      <c r="AA5">
        <v>0</v>
      </c>
      <c r="AB5">
        <v>0</v>
      </c>
      <c r="AC5">
        <v>0</v>
      </c>
      <c r="AD5">
        <v>0</v>
      </c>
      <c r="AE5">
        <v>0</v>
      </c>
      <c r="AF5">
        <v>1</v>
      </c>
      <c r="AG5">
        <v>0</v>
      </c>
      <c r="AJ5">
        <v>1</v>
      </c>
      <c r="AK5">
        <v>1</v>
      </c>
      <c r="AL5">
        <v>1</v>
      </c>
      <c r="AM5">
        <v>0</v>
      </c>
    </row>
    <row r="6" spans="1:39" x14ac:dyDescent="0.3">
      <c r="A6" t="s">
        <v>107</v>
      </c>
      <c r="B6" t="s">
        <v>58</v>
      </c>
      <c r="C6" t="s">
        <v>63</v>
      </c>
      <c r="E6">
        <v>9582.6490542581105</v>
      </c>
      <c r="F6">
        <v>0</v>
      </c>
      <c r="G6" t="s">
        <v>103</v>
      </c>
      <c r="H6">
        <v>9582.6490542581105</v>
      </c>
      <c r="I6">
        <v>455771.75449044502</v>
      </c>
      <c r="K6">
        <v>0</v>
      </c>
      <c r="L6">
        <v>1</v>
      </c>
      <c r="N6" t="e">
        <f>-inf</f>
        <v>#NAME?</v>
      </c>
      <c r="O6" t="s">
        <v>7</v>
      </c>
      <c r="P6">
        <v>0</v>
      </c>
      <c r="Q6">
        <v>1</v>
      </c>
      <c r="R6" t="s">
        <v>19</v>
      </c>
      <c r="S6">
        <v>1.4999999999999999E-2</v>
      </c>
      <c r="T6">
        <v>0</v>
      </c>
      <c r="U6" t="s">
        <v>72</v>
      </c>
      <c r="V6">
        <v>0</v>
      </c>
      <c r="W6">
        <v>30</v>
      </c>
      <c r="X6">
        <v>296.45114740840899</v>
      </c>
      <c r="Y6">
        <v>1</v>
      </c>
      <c r="Z6" t="s">
        <v>103</v>
      </c>
      <c r="AA6">
        <v>0</v>
      </c>
      <c r="AB6">
        <v>0</v>
      </c>
      <c r="AC6">
        <v>0</v>
      </c>
      <c r="AD6">
        <v>0</v>
      </c>
      <c r="AE6">
        <v>0</v>
      </c>
      <c r="AF6">
        <v>1</v>
      </c>
      <c r="AG6">
        <v>0</v>
      </c>
      <c r="AJ6">
        <v>1</v>
      </c>
      <c r="AK6">
        <v>1</v>
      </c>
      <c r="AL6">
        <v>1</v>
      </c>
      <c r="AM6">
        <v>9582.6490542581105</v>
      </c>
    </row>
    <row r="7" spans="1:39" x14ac:dyDescent="0.3">
      <c r="A7" t="s">
        <v>108</v>
      </c>
      <c r="B7" t="s">
        <v>61</v>
      </c>
      <c r="C7" t="s">
        <v>63</v>
      </c>
      <c r="E7">
        <v>1287.97294574188</v>
      </c>
      <c r="F7">
        <v>0</v>
      </c>
      <c r="G7" t="s">
        <v>103</v>
      </c>
      <c r="H7">
        <v>1287.97294574188</v>
      </c>
      <c r="I7">
        <v>47449.755803954897</v>
      </c>
      <c r="K7">
        <v>0</v>
      </c>
      <c r="L7">
        <v>1</v>
      </c>
      <c r="N7" t="e">
        <f>-inf</f>
        <v>#NAME?</v>
      </c>
      <c r="O7" t="s">
        <v>7</v>
      </c>
      <c r="P7">
        <v>0</v>
      </c>
      <c r="Q7">
        <v>1</v>
      </c>
      <c r="R7" t="s">
        <v>19</v>
      </c>
      <c r="S7">
        <v>1.4999999999999999E-2</v>
      </c>
      <c r="T7">
        <v>0</v>
      </c>
      <c r="U7" t="s">
        <v>72</v>
      </c>
      <c r="V7">
        <v>0</v>
      </c>
      <c r="W7">
        <v>30</v>
      </c>
      <c r="X7">
        <v>296.45114740840899</v>
      </c>
      <c r="Y7">
        <v>1</v>
      </c>
      <c r="Z7" t="s">
        <v>103</v>
      </c>
      <c r="AA7">
        <v>0</v>
      </c>
      <c r="AB7">
        <v>0</v>
      </c>
      <c r="AC7">
        <v>0</v>
      </c>
      <c r="AD7">
        <v>0</v>
      </c>
      <c r="AE7">
        <v>0</v>
      </c>
      <c r="AF7">
        <v>1</v>
      </c>
      <c r="AG7">
        <v>0</v>
      </c>
      <c r="AJ7">
        <v>1</v>
      </c>
      <c r="AK7">
        <v>1</v>
      </c>
      <c r="AL7">
        <v>1</v>
      </c>
      <c r="AM7">
        <v>1287.97294574188</v>
      </c>
    </row>
    <row r="8" spans="1:39" x14ac:dyDescent="0.3">
      <c r="A8" t="s">
        <v>111</v>
      </c>
      <c r="B8" t="s">
        <v>58</v>
      </c>
      <c r="C8" t="s">
        <v>63</v>
      </c>
      <c r="E8">
        <v>7326.44</v>
      </c>
      <c r="F8">
        <v>0</v>
      </c>
      <c r="G8" t="s">
        <v>103</v>
      </c>
      <c r="H8">
        <v>0</v>
      </c>
      <c r="I8" t="s">
        <v>7</v>
      </c>
      <c r="K8">
        <v>0</v>
      </c>
      <c r="L8">
        <v>1</v>
      </c>
      <c r="N8" t="e">
        <f>-inf</f>
        <v>#NAME?</v>
      </c>
      <c r="O8" t="s">
        <v>7</v>
      </c>
      <c r="P8">
        <v>0</v>
      </c>
      <c r="Q8">
        <v>1</v>
      </c>
      <c r="R8" t="s">
        <v>28</v>
      </c>
      <c r="S8">
        <v>0</v>
      </c>
      <c r="T8">
        <v>0</v>
      </c>
      <c r="U8" t="s">
        <v>72</v>
      </c>
      <c r="V8">
        <v>0</v>
      </c>
      <c r="W8" t="s">
        <v>7</v>
      </c>
      <c r="X8">
        <v>844.30238877658905</v>
      </c>
      <c r="Y8">
        <v>0.9</v>
      </c>
      <c r="Z8" t="s">
        <v>103</v>
      </c>
      <c r="AA8">
        <v>0</v>
      </c>
      <c r="AB8">
        <v>0</v>
      </c>
      <c r="AC8">
        <v>0</v>
      </c>
      <c r="AD8">
        <v>0</v>
      </c>
      <c r="AE8">
        <v>0</v>
      </c>
      <c r="AF8">
        <v>1</v>
      </c>
      <c r="AG8">
        <v>0</v>
      </c>
      <c r="AJ8">
        <v>1</v>
      </c>
      <c r="AK8">
        <v>1</v>
      </c>
      <c r="AL8">
        <v>7326.44</v>
      </c>
      <c r="AM8">
        <v>7326.44</v>
      </c>
    </row>
    <row r="9" spans="1:39" x14ac:dyDescent="0.3">
      <c r="A9" t="s">
        <v>112</v>
      </c>
      <c r="B9" t="s">
        <v>61</v>
      </c>
      <c r="C9" t="s">
        <v>63</v>
      </c>
      <c r="E9">
        <v>218.1</v>
      </c>
      <c r="F9">
        <v>0</v>
      </c>
      <c r="G9" t="s">
        <v>103</v>
      </c>
      <c r="H9">
        <v>0</v>
      </c>
      <c r="I9" t="s">
        <v>7</v>
      </c>
      <c r="K9">
        <v>0</v>
      </c>
      <c r="L9">
        <v>1</v>
      </c>
      <c r="N9" t="e">
        <f>-inf</f>
        <v>#NAME?</v>
      </c>
      <c r="O9" t="s">
        <v>7</v>
      </c>
      <c r="P9">
        <v>0</v>
      </c>
      <c r="Q9">
        <v>1</v>
      </c>
      <c r="R9" t="s">
        <v>28</v>
      </c>
      <c r="S9">
        <v>0</v>
      </c>
      <c r="T9">
        <v>0</v>
      </c>
      <c r="U9" t="s">
        <v>72</v>
      </c>
      <c r="V9">
        <v>0</v>
      </c>
      <c r="W9" t="s">
        <v>7</v>
      </c>
      <c r="X9">
        <v>844.30238877658905</v>
      </c>
      <c r="Y9">
        <v>0.9</v>
      </c>
      <c r="Z9" t="s">
        <v>103</v>
      </c>
      <c r="AA9">
        <v>0</v>
      </c>
      <c r="AB9">
        <v>0</v>
      </c>
      <c r="AC9">
        <v>0</v>
      </c>
      <c r="AD9">
        <v>0</v>
      </c>
      <c r="AE9">
        <v>0</v>
      </c>
      <c r="AF9">
        <v>1</v>
      </c>
      <c r="AG9">
        <v>0</v>
      </c>
      <c r="AJ9">
        <v>1</v>
      </c>
      <c r="AK9">
        <v>1</v>
      </c>
      <c r="AL9">
        <v>218.1</v>
      </c>
      <c r="AM9">
        <v>218.1</v>
      </c>
    </row>
    <row r="10" spans="1:39" x14ac:dyDescent="0.3">
      <c r="A10" t="s">
        <v>227</v>
      </c>
      <c r="B10" t="s">
        <v>58</v>
      </c>
      <c r="C10" t="s">
        <v>63</v>
      </c>
      <c r="E10">
        <v>53824.000061035098</v>
      </c>
      <c r="F10">
        <v>0</v>
      </c>
      <c r="G10" t="s">
        <v>103</v>
      </c>
      <c r="H10">
        <v>0</v>
      </c>
      <c r="I10" t="s">
        <v>7</v>
      </c>
      <c r="K10">
        <v>0</v>
      </c>
      <c r="L10">
        <v>1</v>
      </c>
      <c r="N10" t="e">
        <f>-inf</f>
        <v>#NAME?</v>
      </c>
      <c r="O10" t="s">
        <v>7</v>
      </c>
      <c r="P10">
        <v>0</v>
      </c>
      <c r="Q10">
        <v>1</v>
      </c>
      <c r="R10" t="s">
        <v>113</v>
      </c>
      <c r="S10">
        <v>10000</v>
      </c>
      <c r="T10">
        <v>0</v>
      </c>
      <c r="U10" t="s">
        <v>72</v>
      </c>
      <c r="V10">
        <v>0</v>
      </c>
      <c r="W10" t="s">
        <v>7</v>
      </c>
      <c r="X10">
        <v>0</v>
      </c>
      <c r="Y10">
        <v>1</v>
      </c>
      <c r="Z10" t="s">
        <v>103</v>
      </c>
      <c r="AA10">
        <v>0</v>
      </c>
      <c r="AB10">
        <v>0</v>
      </c>
      <c r="AC10">
        <v>0</v>
      </c>
      <c r="AD10">
        <v>0</v>
      </c>
      <c r="AE10">
        <v>0</v>
      </c>
      <c r="AF10">
        <v>1</v>
      </c>
      <c r="AG10">
        <v>0</v>
      </c>
      <c r="AJ10">
        <v>1</v>
      </c>
      <c r="AK10">
        <v>1</v>
      </c>
      <c r="AL10">
        <v>1</v>
      </c>
      <c r="AM10">
        <v>53824.000061035098</v>
      </c>
    </row>
    <row r="11" spans="1:39" x14ac:dyDescent="0.3">
      <c r="A11" t="s">
        <v>228</v>
      </c>
      <c r="B11" t="s">
        <v>61</v>
      </c>
      <c r="C11" t="s">
        <v>63</v>
      </c>
      <c r="E11">
        <v>53824.000061035098</v>
      </c>
      <c r="F11">
        <v>0</v>
      </c>
      <c r="G11" t="s">
        <v>103</v>
      </c>
      <c r="H11">
        <v>0</v>
      </c>
      <c r="I11" t="s">
        <v>7</v>
      </c>
      <c r="K11">
        <v>0</v>
      </c>
      <c r="L11">
        <v>1</v>
      </c>
      <c r="N11" t="e">
        <f>-inf</f>
        <v>#NAME?</v>
      </c>
      <c r="O11" t="s">
        <v>7</v>
      </c>
      <c r="P11">
        <v>0</v>
      </c>
      <c r="Q11">
        <v>1</v>
      </c>
      <c r="R11" t="s">
        <v>113</v>
      </c>
      <c r="S11">
        <v>10000</v>
      </c>
      <c r="T11">
        <v>0</v>
      </c>
      <c r="U11" t="s">
        <v>72</v>
      </c>
      <c r="V11">
        <v>0</v>
      </c>
      <c r="W11" t="s">
        <v>7</v>
      </c>
      <c r="X11">
        <v>0</v>
      </c>
      <c r="Y11">
        <v>1</v>
      </c>
      <c r="Z11" t="s">
        <v>103</v>
      </c>
      <c r="AA11">
        <v>0</v>
      </c>
      <c r="AB11">
        <v>0</v>
      </c>
      <c r="AC11">
        <v>0</v>
      </c>
      <c r="AD11">
        <v>0</v>
      </c>
      <c r="AE11">
        <v>0</v>
      </c>
      <c r="AF11">
        <v>1</v>
      </c>
      <c r="AG11">
        <v>0</v>
      </c>
      <c r="AJ11">
        <v>1</v>
      </c>
      <c r="AK11">
        <v>1</v>
      </c>
      <c r="AL11">
        <v>1</v>
      </c>
      <c r="AM11">
        <v>53824.000061035098</v>
      </c>
    </row>
    <row r="12" spans="1:39" x14ac:dyDescent="0.3">
      <c r="A12" t="s">
        <v>185</v>
      </c>
      <c r="B12" t="s">
        <v>184</v>
      </c>
      <c r="C12" t="s">
        <v>59</v>
      </c>
      <c r="E12">
        <v>53824.000061035098</v>
      </c>
      <c r="F12">
        <v>0</v>
      </c>
      <c r="G12" t="s">
        <v>103</v>
      </c>
      <c r="H12">
        <v>0</v>
      </c>
      <c r="I12" t="s">
        <v>7</v>
      </c>
      <c r="K12">
        <v>0</v>
      </c>
      <c r="L12">
        <v>1</v>
      </c>
      <c r="N12" t="e">
        <f>-inf</f>
        <v>#NAME?</v>
      </c>
      <c r="O12" t="s">
        <v>7</v>
      </c>
      <c r="P12">
        <v>0</v>
      </c>
      <c r="Q12">
        <v>1</v>
      </c>
      <c r="R12" t="s">
        <v>113</v>
      </c>
      <c r="S12">
        <v>10000</v>
      </c>
      <c r="T12">
        <v>0</v>
      </c>
      <c r="U12" t="s">
        <v>72</v>
      </c>
      <c r="V12">
        <v>0</v>
      </c>
      <c r="W12" t="s">
        <v>7</v>
      </c>
      <c r="X12">
        <v>0</v>
      </c>
      <c r="Y12">
        <v>1</v>
      </c>
      <c r="Z12" t="s">
        <v>103</v>
      </c>
      <c r="AA12">
        <v>0</v>
      </c>
      <c r="AB12">
        <v>0</v>
      </c>
      <c r="AC12">
        <v>0</v>
      </c>
      <c r="AD12">
        <v>0</v>
      </c>
      <c r="AE12">
        <v>0</v>
      </c>
      <c r="AF12">
        <v>1</v>
      </c>
      <c r="AG12">
        <v>0</v>
      </c>
      <c r="AJ12">
        <v>1</v>
      </c>
      <c r="AK12">
        <v>1</v>
      </c>
      <c r="AL12">
        <v>1</v>
      </c>
      <c r="AM12">
        <v>53824.000061035098</v>
      </c>
    </row>
    <row r="13" spans="1:39" x14ac:dyDescent="0.3">
      <c r="A13" t="s">
        <v>188</v>
      </c>
      <c r="B13" t="s">
        <v>186</v>
      </c>
      <c r="C13" t="s">
        <v>59</v>
      </c>
      <c r="E13">
        <v>53824.000061035098</v>
      </c>
      <c r="F13">
        <v>0</v>
      </c>
      <c r="G13" t="s">
        <v>103</v>
      </c>
      <c r="H13">
        <v>0</v>
      </c>
      <c r="I13" t="s">
        <v>7</v>
      </c>
      <c r="K13">
        <v>0</v>
      </c>
      <c r="L13">
        <v>1</v>
      </c>
      <c r="N13" t="e">
        <f>-inf</f>
        <v>#NAME?</v>
      </c>
      <c r="O13" t="s">
        <v>7</v>
      </c>
      <c r="P13">
        <v>0</v>
      </c>
      <c r="Q13">
        <v>1</v>
      </c>
      <c r="R13" t="s">
        <v>113</v>
      </c>
      <c r="S13">
        <v>10000</v>
      </c>
      <c r="T13">
        <v>0</v>
      </c>
      <c r="U13" t="s">
        <v>72</v>
      </c>
      <c r="V13">
        <v>0</v>
      </c>
      <c r="W13" t="s">
        <v>7</v>
      </c>
      <c r="X13">
        <v>0</v>
      </c>
      <c r="Y13">
        <v>1</v>
      </c>
      <c r="Z13" t="s">
        <v>103</v>
      </c>
      <c r="AA13">
        <v>0</v>
      </c>
      <c r="AB13">
        <v>0</v>
      </c>
      <c r="AC13">
        <v>0</v>
      </c>
      <c r="AD13">
        <v>0</v>
      </c>
      <c r="AE13">
        <v>0</v>
      </c>
      <c r="AF13">
        <v>1</v>
      </c>
      <c r="AG13">
        <v>0</v>
      </c>
      <c r="AJ13">
        <v>1</v>
      </c>
      <c r="AK13">
        <v>1</v>
      </c>
      <c r="AL13">
        <v>1</v>
      </c>
      <c r="AM13">
        <v>53824.000061035098</v>
      </c>
    </row>
    <row r="14" spans="1:39" x14ac:dyDescent="0.3">
      <c r="A14" t="s">
        <v>190</v>
      </c>
      <c r="B14" t="s">
        <v>189</v>
      </c>
      <c r="C14" t="s">
        <v>59</v>
      </c>
      <c r="E14">
        <v>53824.000061035098</v>
      </c>
      <c r="F14">
        <v>0</v>
      </c>
      <c r="G14" t="s">
        <v>103</v>
      </c>
      <c r="H14">
        <v>0</v>
      </c>
      <c r="I14" t="s">
        <v>7</v>
      </c>
      <c r="K14">
        <v>0</v>
      </c>
      <c r="L14">
        <v>1</v>
      </c>
      <c r="N14" t="e">
        <f>-inf</f>
        <v>#NAME?</v>
      </c>
      <c r="O14" t="s">
        <v>7</v>
      </c>
      <c r="P14">
        <v>0</v>
      </c>
      <c r="Q14">
        <v>1</v>
      </c>
      <c r="R14" t="s">
        <v>113</v>
      </c>
      <c r="S14">
        <v>10000</v>
      </c>
      <c r="T14">
        <v>0</v>
      </c>
      <c r="U14" t="s">
        <v>72</v>
      </c>
      <c r="V14">
        <v>0</v>
      </c>
      <c r="W14" t="s">
        <v>7</v>
      </c>
      <c r="X14">
        <v>0</v>
      </c>
      <c r="Y14">
        <v>1</v>
      </c>
      <c r="Z14" t="s">
        <v>103</v>
      </c>
      <c r="AA14">
        <v>0</v>
      </c>
      <c r="AB14">
        <v>0</v>
      </c>
      <c r="AC14">
        <v>0</v>
      </c>
      <c r="AD14">
        <v>0</v>
      </c>
      <c r="AE14">
        <v>0</v>
      </c>
      <c r="AF14">
        <v>1</v>
      </c>
      <c r="AG14">
        <v>0</v>
      </c>
      <c r="AJ14">
        <v>1</v>
      </c>
      <c r="AK14">
        <v>1</v>
      </c>
      <c r="AL14">
        <v>1</v>
      </c>
      <c r="AM14">
        <v>53824.000061035098</v>
      </c>
    </row>
    <row r="15" spans="1:39" x14ac:dyDescent="0.3">
      <c r="A15" t="s">
        <v>192</v>
      </c>
      <c r="B15" t="s">
        <v>191</v>
      </c>
      <c r="C15" t="s">
        <v>59</v>
      </c>
      <c r="E15">
        <v>53824.000061035098</v>
      </c>
      <c r="F15">
        <v>0</v>
      </c>
      <c r="G15" t="s">
        <v>103</v>
      </c>
      <c r="H15">
        <v>0</v>
      </c>
      <c r="I15" t="s">
        <v>7</v>
      </c>
      <c r="K15">
        <v>0</v>
      </c>
      <c r="L15">
        <v>1</v>
      </c>
      <c r="N15" t="e">
        <f>-inf</f>
        <v>#NAME?</v>
      </c>
      <c r="O15" t="s">
        <v>7</v>
      </c>
      <c r="P15">
        <v>0</v>
      </c>
      <c r="Q15">
        <v>1</v>
      </c>
      <c r="R15" t="s">
        <v>113</v>
      </c>
      <c r="S15">
        <v>10000</v>
      </c>
      <c r="T15">
        <v>0</v>
      </c>
      <c r="U15" t="s">
        <v>72</v>
      </c>
      <c r="V15">
        <v>0</v>
      </c>
      <c r="W15" t="s">
        <v>7</v>
      </c>
      <c r="X15">
        <v>0</v>
      </c>
      <c r="Y15">
        <v>1</v>
      </c>
      <c r="Z15" t="s">
        <v>103</v>
      </c>
      <c r="AA15">
        <v>0</v>
      </c>
      <c r="AB15">
        <v>0</v>
      </c>
      <c r="AC15">
        <v>0</v>
      </c>
      <c r="AD15">
        <v>0</v>
      </c>
      <c r="AE15">
        <v>0</v>
      </c>
      <c r="AF15">
        <v>1</v>
      </c>
      <c r="AG15">
        <v>0</v>
      </c>
      <c r="AJ15">
        <v>1</v>
      </c>
      <c r="AK15">
        <v>1</v>
      </c>
      <c r="AL15">
        <v>1</v>
      </c>
      <c r="AM15">
        <v>53824.000061035098</v>
      </c>
    </row>
    <row r="16" spans="1:39" x14ac:dyDescent="0.3">
      <c r="A16" t="s">
        <v>209</v>
      </c>
      <c r="B16" t="s">
        <v>200</v>
      </c>
      <c r="C16" t="s">
        <v>59</v>
      </c>
      <c r="E16">
        <v>53824.000061035098</v>
      </c>
      <c r="F16">
        <v>0</v>
      </c>
      <c r="G16" t="s">
        <v>103</v>
      </c>
      <c r="H16">
        <v>0</v>
      </c>
      <c r="I16" t="s">
        <v>7</v>
      </c>
      <c r="K16">
        <v>0</v>
      </c>
      <c r="L16">
        <v>1</v>
      </c>
      <c r="N16" t="e">
        <f>-inf</f>
        <v>#NAME?</v>
      </c>
      <c r="O16" t="s">
        <v>7</v>
      </c>
      <c r="P16">
        <v>0</v>
      </c>
      <c r="Q16">
        <v>1</v>
      </c>
      <c r="R16" t="s">
        <v>113</v>
      </c>
      <c r="S16">
        <v>10000</v>
      </c>
      <c r="T16">
        <v>0</v>
      </c>
      <c r="U16" t="s">
        <v>72</v>
      </c>
      <c r="V16">
        <v>0</v>
      </c>
      <c r="W16" t="s">
        <v>7</v>
      </c>
      <c r="X16">
        <v>0</v>
      </c>
      <c r="Y16">
        <v>1</v>
      </c>
      <c r="Z16" t="s">
        <v>103</v>
      </c>
      <c r="AA16">
        <v>0</v>
      </c>
      <c r="AB16">
        <v>0</v>
      </c>
      <c r="AC16">
        <v>0</v>
      </c>
      <c r="AD16">
        <v>0</v>
      </c>
      <c r="AE16">
        <v>0</v>
      </c>
      <c r="AF16">
        <v>1</v>
      </c>
      <c r="AG16">
        <v>0</v>
      </c>
      <c r="AJ16">
        <v>1</v>
      </c>
      <c r="AK16">
        <v>1</v>
      </c>
      <c r="AL16">
        <v>1</v>
      </c>
      <c r="AM16">
        <v>53824.000061035098</v>
      </c>
    </row>
    <row r="17" spans="1:39" x14ac:dyDescent="0.3">
      <c r="A17" t="s">
        <v>210</v>
      </c>
      <c r="B17" t="s">
        <v>201</v>
      </c>
      <c r="C17" t="s">
        <v>59</v>
      </c>
      <c r="E17">
        <v>53824.000061035098</v>
      </c>
      <c r="F17">
        <v>0</v>
      </c>
      <c r="G17" t="s">
        <v>103</v>
      </c>
      <c r="H17">
        <v>0</v>
      </c>
      <c r="I17" t="s">
        <v>7</v>
      </c>
      <c r="K17">
        <v>0</v>
      </c>
      <c r="L17">
        <v>1</v>
      </c>
      <c r="N17" t="e">
        <f>-inf</f>
        <v>#NAME?</v>
      </c>
      <c r="O17" t="s">
        <v>7</v>
      </c>
      <c r="P17">
        <v>0</v>
      </c>
      <c r="Q17">
        <v>1</v>
      </c>
      <c r="R17" t="s">
        <v>113</v>
      </c>
      <c r="S17">
        <v>10000</v>
      </c>
      <c r="T17">
        <v>0</v>
      </c>
      <c r="U17" t="s">
        <v>72</v>
      </c>
      <c r="V17">
        <v>0</v>
      </c>
      <c r="W17" t="s">
        <v>7</v>
      </c>
      <c r="X17">
        <v>0</v>
      </c>
      <c r="Y17">
        <v>1</v>
      </c>
      <c r="Z17" t="s">
        <v>103</v>
      </c>
      <c r="AA17">
        <v>0</v>
      </c>
      <c r="AB17">
        <v>0</v>
      </c>
      <c r="AC17">
        <v>0</v>
      </c>
      <c r="AD17">
        <v>0</v>
      </c>
      <c r="AE17">
        <v>0</v>
      </c>
      <c r="AF17">
        <v>1</v>
      </c>
      <c r="AG17">
        <v>0</v>
      </c>
      <c r="AJ17">
        <v>1</v>
      </c>
      <c r="AK17">
        <v>1</v>
      </c>
      <c r="AL17">
        <v>1</v>
      </c>
      <c r="AM17">
        <v>53824.000061035098</v>
      </c>
    </row>
    <row r="18" spans="1:39" x14ac:dyDescent="0.3">
      <c r="A18" t="s">
        <v>211</v>
      </c>
      <c r="B18" t="s">
        <v>203</v>
      </c>
      <c r="C18" t="s">
        <v>59</v>
      </c>
      <c r="E18">
        <v>53824.000061035098</v>
      </c>
      <c r="F18">
        <v>0</v>
      </c>
      <c r="G18" t="s">
        <v>103</v>
      </c>
      <c r="H18">
        <v>0</v>
      </c>
      <c r="I18" t="s">
        <v>7</v>
      </c>
      <c r="K18">
        <v>0</v>
      </c>
      <c r="L18">
        <v>1</v>
      </c>
      <c r="N18" t="e">
        <f>-inf</f>
        <v>#NAME?</v>
      </c>
      <c r="O18" t="s">
        <v>7</v>
      </c>
      <c r="P18">
        <v>0</v>
      </c>
      <c r="Q18">
        <v>1</v>
      </c>
      <c r="R18" t="s">
        <v>113</v>
      </c>
      <c r="S18">
        <v>10000</v>
      </c>
      <c r="T18">
        <v>0</v>
      </c>
      <c r="U18" t="s">
        <v>72</v>
      </c>
      <c r="V18">
        <v>0</v>
      </c>
      <c r="W18" t="s">
        <v>7</v>
      </c>
      <c r="X18">
        <v>0</v>
      </c>
      <c r="Y18">
        <v>1</v>
      </c>
      <c r="Z18" t="s">
        <v>103</v>
      </c>
      <c r="AA18">
        <v>0</v>
      </c>
      <c r="AB18">
        <v>0</v>
      </c>
      <c r="AC18">
        <v>0</v>
      </c>
      <c r="AD18">
        <v>0</v>
      </c>
      <c r="AE18">
        <v>0</v>
      </c>
      <c r="AF18">
        <v>1</v>
      </c>
      <c r="AG18">
        <v>0</v>
      </c>
      <c r="AJ18">
        <v>1</v>
      </c>
      <c r="AK18">
        <v>1</v>
      </c>
      <c r="AL18">
        <v>1</v>
      </c>
      <c r="AM18">
        <v>53824.000061035098</v>
      </c>
    </row>
    <row r="19" spans="1:39" x14ac:dyDescent="0.3">
      <c r="A19" t="s">
        <v>212</v>
      </c>
      <c r="B19" t="s">
        <v>213</v>
      </c>
      <c r="C19" t="s">
        <v>59</v>
      </c>
      <c r="E19">
        <v>53824.000061035098</v>
      </c>
      <c r="F19">
        <v>0</v>
      </c>
      <c r="G19" t="s">
        <v>103</v>
      </c>
      <c r="H19">
        <v>0</v>
      </c>
      <c r="I19" t="s">
        <v>7</v>
      </c>
      <c r="K19">
        <v>0</v>
      </c>
      <c r="L19">
        <v>1</v>
      </c>
      <c r="N19" t="e">
        <f>-inf</f>
        <v>#NAME?</v>
      </c>
      <c r="O19" t="s">
        <v>7</v>
      </c>
      <c r="P19">
        <v>0</v>
      </c>
      <c r="Q19">
        <v>1</v>
      </c>
      <c r="R19" t="s">
        <v>113</v>
      </c>
      <c r="S19">
        <v>10000</v>
      </c>
      <c r="T19">
        <v>0</v>
      </c>
      <c r="U19" t="s">
        <v>72</v>
      </c>
      <c r="V19">
        <v>0</v>
      </c>
      <c r="W19" t="s">
        <v>7</v>
      </c>
      <c r="X19">
        <v>0</v>
      </c>
      <c r="Y19">
        <v>1</v>
      </c>
      <c r="Z19" t="s">
        <v>103</v>
      </c>
      <c r="AA19">
        <v>0</v>
      </c>
      <c r="AB19">
        <v>0</v>
      </c>
      <c r="AC19">
        <v>0</v>
      </c>
      <c r="AD19">
        <v>0</v>
      </c>
      <c r="AE19">
        <v>0</v>
      </c>
      <c r="AF19">
        <v>1</v>
      </c>
      <c r="AG19">
        <v>0</v>
      </c>
      <c r="AJ19">
        <v>1</v>
      </c>
      <c r="AK19">
        <v>1</v>
      </c>
      <c r="AL19">
        <v>1</v>
      </c>
      <c r="AM19">
        <v>53824.000061035098</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W18"/>
  <sheetViews>
    <sheetView workbookViewId="0">
      <selection activeCell="A16" sqref="A16"/>
    </sheetView>
  </sheetViews>
  <sheetFormatPr defaultRowHeight="14.4" x14ac:dyDescent="0.3"/>
  <sheetData>
    <row r="1" spans="1:49" x14ac:dyDescent="0.3">
      <c r="A1" t="s">
        <v>162</v>
      </c>
      <c r="B1" t="s">
        <v>114</v>
      </c>
      <c r="C1" t="s">
        <v>115</v>
      </c>
      <c r="D1" t="s">
        <v>43</v>
      </c>
      <c r="E1" t="s">
        <v>46</v>
      </c>
      <c r="F1" t="s">
        <v>87</v>
      </c>
      <c r="G1" t="s">
        <v>71</v>
      </c>
      <c r="H1" t="s">
        <v>84</v>
      </c>
      <c r="I1" t="s">
        <v>85</v>
      </c>
      <c r="J1" t="s">
        <v>73</v>
      </c>
      <c r="K1" t="s">
        <v>74</v>
      </c>
      <c r="L1" t="s">
        <v>75</v>
      </c>
      <c r="M1" t="s">
        <v>76</v>
      </c>
      <c r="N1" t="s">
        <v>77</v>
      </c>
      <c r="O1" t="s">
        <v>194</v>
      </c>
      <c r="P1" t="s">
        <v>68</v>
      </c>
      <c r="Q1" t="s">
        <v>78</v>
      </c>
      <c r="R1" t="s">
        <v>79</v>
      </c>
      <c r="S1" t="s">
        <v>86</v>
      </c>
      <c r="T1" t="s">
        <v>82</v>
      </c>
      <c r="U1" t="s">
        <v>83</v>
      </c>
      <c r="V1" t="s">
        <v>91</v>
      </c>
      <c r="W1" t="s">
        <v>116</v>
      </c>
      <c r="X1" t="s">
        <v>117</v>
      </c>
      <c r="Y1" t="s">
        <v>88</v>
      </c>
      <c r="Z1" t="s">
        <v>89</v>
      </c>
      <c r="AA1" t="s">
        <v>90</v>
      </c>
      <c r="AB1" t="s">
        <v>92</v>
      </c>
      <c r="AC1" t="s">
        <v>93</v>
      </c>
      <c r="AD1" t="s">
        <v>94</v>
      </c>
      <c r="AE1" t="s">
        <v>95</v>
      </c>
      <c r="AF1" t="s">
        <v>96</v>
      </c>
      <c r="AG1" t="s">
        <v>97</v>
      </c>
      <c r="AH1" t="s">
        <v>98</v>
      </c>
      <c r="AI1" t="s">
        <v>99</v>
      </c>
      <c r="AJ1" t="s">
        <v>101</v>
      </c>
      <c r="AK1" t="s">
        <v>195</v>
      </c>
      <c r="AL1" t="s">
        <v>196</v>
      </c>
      <c r="AM1" t="s">
        <v>197</v>
      </c>
      <c r="AN1" t="s">
        <v>124</v>
      </c>
      <c r="AO1" t="s">
        <v>123</v>
      </c>
      <c r="AP1" t="s">
        <v>122</v>
      </c>
      <c r="AQ1" t="s">
        <v>118</v>
      </c>
      <c r="AR1" t="s">
        <v>119</v>
      </c>
      <c r="AS1" t="s">
        <v>120</v>
      </c>
      <c r="AT1" t="s">
        <v>125</v>
      </c>
      <c r="AU1" t="s">
        <v>121</v>
      </c>
      <c r="AV1" t="s">
        <v>198</v>
      </c>
      <c r="AW1" t="s">
        <v>199</v>
      </c>
    </row>
    <row r="2" spans="1:49" x14ac:dyDescent="0.3">
      <c r="A2" t="s">
        <v>126</v>
      </c>
      <c r="B2" t="s">
        <v>61</v>
      </c>
      <c r="C2" t="s">
        <v>58</v>
      </c>
      <c r="E2" t="s">
        <v>8</v>
      </c>
      <c r="F2">
        <v>0.96946336745504402</v>
      </c>
      <c r="G2" t="s">
        <v>72</v>
      </c>
      <c r="H2">
        <v>0</v>
      </c>
      <c r="I2" t="s">
        <v>7</v>
      </c>
      <c r="J2">
        <v>1000</v>
      </c>
      <c r="K2">
        <v>0</v>
      </c>
      <c r="L2" t="s">
        <v>72</v>
      </c>
      <c r="M2">
        <v>1000</v>
      </c>
      <c r="N2">
        <v>21000</v>
      </c>
      <c r="Q2">
        <v>0</v>
      </c>
      <c r="R2">
        <v>1</v>
      </c>
      <c r="S2">
        <v>1421.08521747541</v>
      </c>
      <c r="T2">
        <v>0</v>
      </c>
      <c r="U2">
        <v>0</v>
      </c>
      <c r="V2">
        <v>0</v>
      </c>
      <c r="W2">
        <v>464.56899717447197</v>
      </c>
      <c r="X2">
        <v>1</v>
      </c>
      <c r="Y2" t="s">
        <v>103</v>
      </c>
      <c r="Z2">
        <v>0</v>
      </c>
      <c r="AA2">
        <v>0</v>
      </c>
      <c r="AB2">
        <v>0</v>
      </c>
      <c r="AC2">
        <v>0</v>
      </c>
      <c r="AD2">
        <v>1</v>
      </c>
      <c r="AE2">
        <v>0</v>
      </c>
      <c r="AH2">
        <v>1</v>
      </c>
      <c r="AI2">
        <v>1</v>
      </c>
      <c r="AJ2">
        <v>1299.9999945244001</v>
      </c>
      <c r="AL2">
        <v>1</v>
      </c>
      <c r="AN2">
        <v>500</v>
      </c>
      <c r="AO2">
        <v>1</v>
      </c>
      <c r="AP2">
        <v>0</v>
      </c>
      <c r="AQ2" t="s">
        <v>127</v>
      </c>
      <c r="AR2" t="s">
        <v>128</v>
      </c>
      <c r="AS2">
        <v>1</v>
      </c>
      <c r="AT2">
        <v>0.96184305038492401</v>
      </c>
      <c r="AV2" t="s">
        <v>103</v>
      </c>
      <c r="AW2">
        <v>464.56899717447197</v>
      </c>
    </row>
    <row r="3" spans="1:49" x14ac:dyDescent="0.3">
      <c r="A3" t="s">
        <v>200</v>
      </c>
      <c r="B3" t="s">
        <v>189</v>
      </c>
      <c r="C3" t="s">
        <v>200</v>
      </c>
      <c r="E3" t="s">
        <v>168</v>
      </c>
      <c r="F3">
        <v>1</v>
      </c>
      <c r="G3" t="s">
        <v>72</v>
      </c>
      <c r="H3">
        <v>0</v>
      </c>
      <c r="I3" t="s">
        <v>7</v>
      </c>
      <c r="J3">
        <v>0</v>
      </c>
      <c r="K3">
        <v>0</v>
      </c>
      <c r="L3" t="s">
        <v>72</v>
      </c>
      <c r="M3">
        <v>0</v>
      </c>
      <c r="N3" t="s">
        <v>7</v>
      </c>
      <c r="Q3">
        <v>0</v>
      </c>
      <c r="R3">
        <v>1</v>
      </c>
      <c r="S3">
        <v>0</v>
      </c>
      <c r="T3">
        <v>0</v>
      </c>
      <c r="U3">
        <v>0</v>
      </c>
      <c r="V3">
        <v>0</v>
      </c>
      <c r="W3">
        <v>0</v>
      </c>
      <c r="X3">
        <v>1</v>
      </c>
      <c r="Y3" t="s">
        <v>103</v>
      </c>
      <c r="Z3">
        <v>0</v>
      </c>
      <c r="AA3">
        <v>0</v>
      </c>
      <c r="AB3">
        <v>0</v>
      </c>
      <c r="AC3">
        <v>0</v>
      </c>
      <c r="AD3">
        <v>1</v>
      </c>
      <c r="AE3">
        <v>0</v>
      </c>
      <c r="AH3">
        <v>1</v>
      </c>
      <c r="AI3">
        <v>1</v>
      </c>
      <c r="AJ3" s="1">
        <v>2.8089474324371299E-5</v>
      </c>
      <c r="AL3">
        <v>1</v>
      </c>
      <c r="AV3" t="s">
        <v>103</v>
      </c>
      <c r="AW3">
        <v>0</v>
      </c>
    </row>
    <row r="4" spans="1:49" x14ac:dyDescent="0.3">
      <c r="A4" t="s">
        <v>201</v>
      </c>
      <c r="B4" t="s">
        <v>191</v>
      </c>
      <c r="C4" t="s">
        <v>201</v>
      </c>
      <c r="E4" t="s">
        <v>168</v>
      </c>
      <c r="F4">
        <v>1</v>
      </c>
      <c r="G4" t="s">
        <v>72</v>
      </c>
      <c r="H4">
        <v>0</v>
      </c>
      <c r="I4" t="s">
        <v>7</v>
      </c>
      <c r="J4">
        <v>0</v>
      </c>
      <c r="K4">
        <v>0</v>
      </c>
      <c r="L4" t="s">
        <v>72</v>
      </c>
      <c r="M4">
        <v>0</v>
      </c>
      <c r="N4" t="s">
        <v>7</v>
      </c>
      <c r="Q4">
        <v>0</v>
      </c>
      <c r="R4">
        <v>1</v>
      </c>
      <c r="S4">
        <v>0</v>
      </c>
      <c r="T4">
        <v>0</v>
      </c>
      <c r="U4">
        <v>0</v>
      </c>
      <c r="V4">
        <v>0</v>
      </c>
      <c r="W4">
        <v>0</v>
      </c>
      <c r="X4">
        <v>1</v>
      </c>
      <c r="Y4" t="s">
        <v>103</v>
      </c>
      <c r="Z4">
        <v>0</v>
      </c>
      <c r="AA4">
        <v>0</v>
      </c>
      <c r="AB4">
        <v>0</v>
      </c>
      <c r="AC4">
        <v>0</v>
      </c>
      <c r="AD4">
        <v>1</v>
      </c>
      <c r="AE4">
        <v>0</v>
      </c>
      <c r="AH4">
        <v>1</v>
      </c>
      <c r="AI4">
        <v>1</v>
      </c>
      <c r="AJ4">
        <v>0</v>
      </c>
      <c r="AL4">
        <v>1</v>
      </c>
      <c r="AV4" t="s">
        <v>103</v>
      </c>
      <c r="AW4">
        <v>0</v>
      </c>
    </row>
    <row r="5" spans="1:49" x14ac:dyDescent="0.3">
      <c r="A5" t="s">
        <v>202</v>
      </c>
      <c r="B5" t="s">
        <v>203</v>
      </c>
      <c r="C5" t="s">
        <v>58</v>
      </c>
      <c r="E5" t="s">
        <v>179</v>
      </c>
      <c r="F5">
        <v>0.43</v>
      </c>
      <c r="G5" t="s">
        <v>72</v>
      </c>
      <c r="H5">
        <v>0</v>
      </c>
      <c r="I5">
        <v>25</v>
      </c>
      <c r="J5">
        <v>0</v>
      </c>
      <c r="K5">
        <v>0</v>
      </c>
      <c r="L5" t="s">
        <v>72</v>
      </c>
      <c r="M5">
        <v>0</v>
      </c>
      <c r="N5" t="s">
        <v>7</v>
      </c>
      <c r="Q5">
        <v>0</v>
      </c>
      <c r="R5">
        <v>1</v>
      </c>
      <c r="S5">
        <v>533.11183006774502</v>
      </c>
      <c r="T5">
        <v>2.0476599999999898</v>
      </c>
      <c r="U5">
        <v>0</v>
      </c>
      <c r="V5">
        <v>0</v>
      </c>
      <c r="W5">
        <v>0</v>
      </c>
      <c r="X5">
        <v>1</v>
      </c>
      <c r="Y5" t="s">
        <v>103</v>
      </c>
      <c r="Z5">
        <v>0</v>
      </c>
      <c r="AA5">
        <v>0</v>
      </c>
      <c r="AB5">
        <v>0</v>
      </c>
      <c r="AC5">
        <v>0</v>
      </c>
      <c r="AD5">
        <v>1</v>
      </c>
      <c r="AE5">
        <v>0</v>
      </c>
      <c r="AH5">
        <v>1</v>
      </c>
      <c r="AI5">
        <v>1</v>
      </c>
      <c r="AJ5">
        <v>2.2194745448371099E-2</v>
      </c>
      <c r="AK5" t="s">
        <v>186</v>
      </c>
      <c r="AL5">
        <v>0.19800000000000001</v>
      </c>
      <c r="AV5" t="s">
        <v>103</v>
      </c>
      <c r="AW5">
        <v>0</v>
      </c>
    </row>
    <row r="6" spans="1:49" x14ac:dyDescent="0.3">
      <c r="A6" t="s">
        <v>204</v>
      </c>
      <c r="B6" t="s">
        <v>203</v>
      </c>
      <c r="C6" t="s">
        <v>61</v>
      </c>
      <c r="E6" t="s">
        <v>179</v>
      </c>
      <c r="F6">
        <v>0.43</v>
      </c>
      <c r="G6" t="s">
        <v>72</v>
      </c>
      <c r="H6">
        <v>0</v>
      </c>
      <c r="I6">
        <v>25</v>
      </c>
      <c r="J6">
        <v>0</v>
      </c>
      <c r="K6">
        <v>0</v>
      </c>
      <c r="L6" t="s">
        <v>72</v>
      </c>
      <c r="M6">
        <v>0</v>
      </c>
      <c r="N6" t="s">
        <v>7</v>
      </c>
      <c r="Q6">
        <v>0</v>
      </c>
      <c r="R6">
        <v>1</v>
      </c>
      <c r="S6">
        <v>533.11183006774502</v>
      </c>
      <c r="T6">
        <v>2.0476599999999898</v>
      </c>
      <c r="U6">
        <v>0</v>
      </c>
      <c r="V6">
        <v>0</v>
      </c>
      <c r="W6">
        <v>0</v>
      </c>
      <c r="X6">
        <v>1</v>
      </c>
      <c r="Y6" t="s">
        <v>103</v>
      </c>
      <c r="Z6">
        <v>0</v>
      </c>
      <c r="AA6">
        <v>0</v>
      </c>
      <c r="AB6">
        <v>0</v>
      </c>
      <c r="AC6">
        <v>0</v>
      </c>
      <c r="AD6">
        <v>1</v>
      </c>
      <c r="AE6">
        <v>0</v>
      </c>
      <c r="AH6">
        <v>1</v>
      </c>
      <c r="AI6">
        <v>1</v>
      </c>
      <c r="AJ6">
        <v>2.21019609705961E-2</v>
      </c>
      <c r="AK6" t="s">
        <v>186</v>
      </c>
      <c r="AL6">
        <v>0.19800000000000001</v>
      </c>
      <c r="AV6" t="s">
        <v>103</v>
      </c>
      <c r="AW6">
        <v>0</v>
      </c>
    </row>
    <row r="7" spans="1:49" x14ac:dyDescent="0.3">
      <c r="A7" t="s">
        <v>102</v>
      </c>
      <c r="B7" t="s">
        <v>203</v>
      </c>
      <c r="C7" t="s">
        <v>58</v>
      </c>
      <c r="E7" t="s">
        <v>10</v>
      </c>
      <c r="F7">
        <v>0.6</v>
      </c>
      <c r="G7" t="s">
        <v>72</v>
      </c>
      <c r="H7">
        <v>0</v>
      </c>
      <c r="I7">
        <v>25</v>
      </c>
      <c r="J7">
        <v>0</v>
      </c>
      <c r="K7">
        <v>0</v>
      </c>
      <c r="L7" t="s">
        <v>72</v>
      </c>
      <c r="M7">
        <v>0</v>
      </c>
      <c r="N7" t="s">
        <v>7</v>
      </c>
      <c r="Q7">
        <v>0</v>
      </c>
      <c r="R7">
        <v>1</v>
      </c>
      <c r="S7">
        <v>1646.4492859771101</v>
      </c>
      <c r="T7">
        <v>2.5397399999999899</v>
      </c>
      <c r="U7">
        <v>0</v>
      </c>
      <c r="V7">
        <v>0</v>
      </c>
      <c r="W7">
        <v>0</v>
      </c>
      <c r="X7">
        <v>1</v>
      </c>
      <c r="Y7" t="s">
        <v>103</v>
      </c>
      <c r="Z7">
        <v>0</v>
      </c>
      <c r="AA7">
        <v>0</v>
      </c>
      <c r="AB7">
        <v>0</v>
      </c>
      <c r="AC7">
        <v>0</v>
      </c>
      <c r="AD7">
        <v>1</v>
      </c>
      <c r="AE7">
        <v>0</v>
      </c>
      <c r="AH7">
        <v>1</v>
      </c>
      <c r="AI7">
        <v>1</v>
      </c>
      <c r="AJ7">
        <v>7.49936377254431E-3</v>
      </c>
      <c r="AK7" t="s">
        <v>186</v>
      </c>
      <c r="AL7">
        <v>0.19800000000000001</v>
      </c>
      <c r="AV7" t="s">
        <v>103</v>
      </c>
      <c r="AW7">
        <v>0</v>
      </c>
    </row>
    <row r="8" spans="1:49" x14ac:dyDescent="0.3">
      <c r="A8" t="s">
        <v>104</v>
      </c>
      <c r="B8" t="s">
        <v>203</v>
      </c>
      <c r="C8" t="s">
        <v>61</v>
      </c>
      <c r="E8" t="s">
        <v>10</v>
      </c>
      <c r="F8">
        <v>0.6</v>
      </c>
      <c r="G8" t="s">
        <v>72</v>
      </c>
      <c r="H8">
        <v>0</v>
      </c>
      <c r="I8">
        <v>25</v>
      </c>
      <c r="J8">
        <v>0</v>
      </c>
      <c r="K8">
        <v>0</v>
      </c>
      <c r="L8" t="s">
        <v>72</v>
      </c>
      <c r="M8">
        <v>0</v>
      </c>
      <c r="N8" t="s">
        <v>7</v>
      </c>
      <c r="Q8">
        <v>0</v>
      </c>
      <c r="R8">
        <v>1</v>
      </c>
      <c r="S8">
        <v>1646.4492859771101</v>
      </c>
      <c r="T8">
        <v>2.5397399999999899</v>
      </c>
      <c r="U8">
        <v>0</v>
      </c>
      <c r="V8">
        <v>0</v>
      </c>
      <c r="W8">
        <v>0</v>
      </c>
      <c r="X8">
        <v>1</v>
      </c>
      <c r="Y8" t="s">
        <v>103</v>
      </c>
      <c r="Z8">
        <v>0</v>
      </c>
      <c r="AA8">
        <v>0</v>
      </c>
      <c r="AB8">
        <v>0</v>
      </c>
      <c r="AC8">
        <v>0</v>
      </c>
      <c r="AD8">
        <v>1</v>
      </c>
      <c r="AE8">
        <v>0</v>
      </c>
      <c r="AH8">
        <v>1</v>
      </c>
      <c r="AI8">
        <v>1</v>
      </c>
      <c r="AJ8">
        <v>7.3770629400532898E-3</v>
      </c>
      <c r="AK8" t="s">
        <v>186</v>
      </c>
      <c r="AL8">
        <v>0.19800000000000001</v>
      </c>
      <c r="AV8" t="s">
        <v>103</v>
      </c>
      <c r="AW8">
        <v>0</v>
      </c>
    </row>
    <row r="9" spans="1:49" x14ac:dyDescent="0.3">
      <c r="A9" t="s">
        <v>129</v>
      </c>
      <c r="B9" t="s">
        <v>58</v>
      </c>
      <c r="C9" t="s">
        <v>62</v>
      </c>
      <c r="E9" t="s">
        <v>178</v>
      </c>
      <c r="F9">
        <v>0.69940000000000002</v>
      </c>
      <c r="G9" t="s">
        <v>72</v>
      </c>
      <c r="H9">
        <v>0</v>
      </c>
      <c r="I9">
        <v>25</v>
      </c>
      <c r="J9">
        <v>0</v>
      </c>
      <c r="K9">
        <v>0</v>
      </c>
      <c r="L9" t="s">
        <v>72</v>
      </c>
      <c r="M9">
        <v>0</v>
      </c>
      <c r="N9" t="s">
        <v>7</v>
      </c>
      <c r="Q9">
        <v>0</v>
      </c>
      <c r="R9">
        <v>1</v>
      </c>
      <c r="S9">
        <v>3446.8634854976799</v>
      </c>
      <c r="T9">
        <v>0</v>
      </c>
      <c r="U9">
        <v>0</v>
      </c>
      <c r="V9">
        <v>0</v>
      </c>
      <c r="W9">
        <v>0</v>
      </c>
      <c r="X9">
        <v>1</v>
      </c>
      <c r="Y9" t="s">
        <v>103</v>
      </c>
      <c r="Z9">
        <v>0</v>
      </c>
      <c r="AA9">
        <v>0</v>
      </c>
      <c r="AB9">
        <v>0</v>
      </c>
      <c r="AC9">
        <v>0</v>
      </c>
      <c r="AD9">
        <v>1</v>
      </c>
      <c r="AE9">
        <v>0</v>
      </c>
      <c r="AH9">
        <v>1</v>
      </c>
      <c r="AI9">
        <v>1</v>
      </c>
      <c r="AJ9">
        <v>6.9256382184290401E-3</v>
      </c>
      <c r="AL9">
        <v>1</v>
      </c>
      <c r="AV9" t="s">
        <v>103</v>
      </c>
      <c r="AW9">
        <v>0</v>
      </c>
    </row>
    <row r="10" spans="1:49" x14ac:dyDescent="0.3">
      <c r="A10" t="s">
        <v>130</v>
      </c>
      <c r="B10" t="s">
        <v>61</v>
      </c>
      <c r="C10" t="s">
        <v>64</v>
      </c>
      <c r="E10" t="s">
        <v>178</v>
      </c>
      <c r="F10">
        <v>0.69940000000000002</v>
      </c>
      <c r="G10" t="s">
        <v>72</v>
      </c>
      <c r="H10">
        <v>0</v>
      </c>
      <c r="I10">
        <v>25</v>
      </c>
      <c r="J10">
        <v>0</v>
      </c>
      <c r="K10">
        <v>0</v>
      </c>
      <c r="L10" t="s">
        <v>72</v>
      </c>
      <c r="M10">
        <v>0</v>
      </c>
      <c r="N10" t="s">
        <v>7</v>
      </c>
      <c r="Q10">
        <v>0</v>
      </c>
      <c r="R10">
        <v>1</v>
      </c>
      <c r="S10">
        <v>3446.8634854976799</v>
      </c>
      <c r="T10">
        <v>0</v>
      </c>
      <c r="U10">
        <v>0</v>
      </c>
      <c r="V10">
        <v>0</v>
      </c>
      <c r="W10">
        <v>0</v>
      </c>
      <c r="X10">
        <v>1</v>
      </c>
      <c r="Y10" t="s">
        <v>103</v>
      </c>
      <c r="Z10">
        <v>0</v>
      </c>
      <c r="AA10">
        <v>0</v>
      </c>
      <c r="AB10">
        <v>0</v>
      </c>
      <c r="AC10">
        <v>0</v>
      </c>
      <c r="AD10">
        <v>1</v>
      </c>
      <c r="AE10">
        <v>0</v>
      </c>
      <c r="AH10">
        <v>1</v>
      </c>
      <c r="AI10">
        <v>1</v>
      </c>
      <c r="AJ10">
        <v>8.1261449361919296E-3</v>
      </c>
      <c r="AL10">
        <v>1</v>
      </c>
      <c r="AV10" t="s">
        <v>103</v>
      </c>
      <c r="AW10">
        <v>0</v>
      </c>
    </row>
    <row r="11" spans="1:49" x14ac:dyDescent="0.3">
      <c r="A11" t="s">
        <v>131</v>
      </c>
      <c r="B11" t="s">
        <v>58</v>
      </c>
      <c r="C11" t="s">
        <v>65</v>
      </c>
      <c r="E11" t="s">
        <v>37</v>
      </c>
      <c r="F11">
        <v>0.97979589711327097</v>
      </c>
      <c r="G11" t="s">
        <v>72</v>
      </c>
      <c r="H11">
        <v>0</v>
      </c>
      <c r="I11">
        <v>10</v>
      </c>
      <c r="J11">
        <v>0</v>
      </c>
      <c r="K11">
        <v>0</v>
      </c>
      <c r="L11" t="s">
        <v>72</v>
      </c>
      <c r="M11">
        <v>0</v>
      </c>
      <c r="N11" t="s">
        <v>7</v>
      </c>
      <c r="Q11">
        <v>0</v>
      </c>
      <c r="R11">
        <v>1</v>
      </c>
      <c r="S11">
        <v>264.61616942511699</v>
      </c>
      <c r="T11">
        <v>0</v>
      </c>
      <c r="U11">
        <v>0</v>
      </c>
      <c r="V11">
        <v>0</v>
      </c>
      <c r="W11">
        <v>0</v>
      </c>
      <c r="X11">
        <v>1</v>
      </c>
      <c r="Y11" t="s">
        <v>103</v>
      </c>
      <c r="Z11">
        <v>0</v>
      </c>
      <c r="AA11">
        <v>0</v>
      </c>
      <c r="AB11">
        <v>0</v>
      </c>
      <c r="AC11">
        <v>0</v>
      </c>
      <c r="AD11">
        <v>1</v>
      </c>
      <c r="AE11">
        <v>0</v>
      </c>
      <c r="AH11">
        <v>1</v>
      </c>
      <c r="AI11">
        <v>1</v>
      </c>
      <c r="AJ11">
        <v>60150.557122236998</v>
      </c>
      <c r="AL11">
        <v>1</v>
      </c>
      <c r="AV11" t="s">
        <v>103</v>
      </c>
      <c r="AW11">
        <v>0</v>
      </c>
    </row>
    <row r="12" spans="1:49" x14ac:dyDescent="0.3">
      <c r="A12" t="s">
        <v>132</v>
      </c>
      <c r="B12" t="s">
        <v>61</v>
      </c>
      <c r="C12" t="s">
        <v>66</v>
      </c>
      <c r="E12" t="s">
        <v>37</v>
      </c>
      <c r="F12">
        <v>0.97979589711327097</v>
      </c>
      <c r="G12" t="s">
        <v>72</v>
      </c>
      <c r="H12">
        <v>0</v>
      </c>
      <c r="I12">
        <v>10</v>
      </c>
      <c r="J12">
        <v>0</v>
      </c>
      <c r="K12">
        <v>0</v>
      </c>
      <c r="L12" t="s">
        <v>72</v>
      </c>
      <c r="M12">
        <v>0</v>
      </c>
      <c r="N12" t="s">
        <v>7</v>
      </c>
      <c r="Q12">
        <v>0</v>
      </c>
      <c r="R12">
        <v>1</v>
      </c>
      <c r="S12">
        <v>264.61616942511699</v>
      </c>
      <c r="T12">
        <v>0</v>
      </c>
      <c r="U12">
        <v>0</v>
      </c>
      <c r="V12">
        <v>0</v>
      </c>
      <c r="W12">
        <v>0</v>
      </c>
      <c r="X12">
        <v>1</v>
      </c>
      <c r="Y12" t="s">
        <v>103</v>
      </c>
      <c r="Z12">
        <v>0</v>
      </c>
      <c r="AA12">
        <v>0</v>
      </c>
      <c r="AB12">
        <v>0</v>
      </c>
      <c r="AC12">
        <v>0</v>
      </c>
      <c r="AD12">
        <v>1</v>
      </c>
      <c r="AE12">
        <v>0</v>
      </c>
      <c r="AH12">
        <v>1</v>
      </c>
      <c r="AI12">
        <v>1</v>
      </c>
      <c r="AJ12">
        <v>3081.9196095953898</v>
      </c>
      <c r="AL12">
        <v>1</v>
      </c>
      <c r="AV12" t="s">
        <v>103</v>
      </c>
      <c r="AW12">
        <v>0</v>
      </c>
    </row>
    <row r="13" spans="1:49" x14ac:dyDescent="0.3">
      <c r="A13" t="s">
        <v>133</v>
      </c>
      <c r="B13" t="s">
        <v>65</v>
      </c>
      <c r="C13" t="s">
        <v>58</v>
      </c>
      <c r="E13" t="s">
        <v>39</v>
      </c>
      <c r="F13">
        <v>0.97979589711327097</v>
      </c>
      <c r="G13" t="s">
        <v>72</v>
      </c>
      <c r="H13">
        <v>0</v>
      </c>
      <c r="I13">
        <v>10</v>
      </c>
      <c r="J13">
        <v>0</v>
      </c>
      <c r="K13">
        <v>0</v>
      </c>
      <c r="L13" t="s">
        <v>72</v>
      </c>
      <c r="M13">
        <v>0</v>
      </c>
      <c r="N13" t="s">
        <v>7</v>
      </c>
      <c r="Q13">
        <v>0</v>
      </c>
      <c r="R13">
        <v>1</v>
      </c>
      <c r="S13">
        <v>0</v>
      </c>
      <c r="T13">
        <v>0</v>
      </c>
      <c r="U13">
        <v>0</v>
      </c>
      <c r="V13">
        <v>0</v>
      </c>
      <c r="W13">
        <v>0</v>
      </c>
      <c r="X13">
        <v>1</v>
      </c>
      <c r="Y13" t="s">
        <v>103</v>
      </c>
      <c r="Z13">
        <v>0</v>
      </c>
      <c r="AA13">
        <v>0</v>
      </c>
      <c r="AB13">
        <v>0</v>
      </c>
      <c r="AC13">
        <v>0</v>
      </c>
      <c r="AD13">
        <v>1</v>
      </c>
      <c r="AE13">
        <v>0</v>
      </c>
      <c r="AH13">
        <v>1</v>
      </c>
      <c r="AI13">
        <v>1</v>
      </c>
      <c r="AJ13">
        <v>42992.198029099702</v>
      </c>
      <c r="AL13">
        <v>1</v>
      </c>
      <c r="AV13" t="s">
        <v>103</v>
      </c>
      <c r="AW13">
        <v>0</v>
      </c>
    </row>
    <row r="14" spans="1:49" x14ac:dyDescent="0.3">
      <c r="A14" t="s">
        <v>134</v>
      </c>
      <c r="B14" t="s">
        <v>66</v>
      </c>
      <c r="C14" t="s">
        <v>61</v>
      </c>
      <c r="E14" t="s">
        <v>39</v>
      </c>
      <c r="F14">
        <v>0.97979589711327097</v>
      </c>
      <c r="G14" t="s">
        <v>72</v>
      </c>
      <c r="H14">
        <v>0</v>
      </c>
      <c r="I14">
        <v>10</v>
      </c>
      <c r="J14">
        <v>0</v>
      </c>
      <c r="K14">
        <v>0</v>
      </c>
      <c r="L14" t="s">
        <v>72</v>
      </c>
      <c r="M14">
        <v>0</v>
      </c>
      <c r="N14" t="s">
        <v>7</v>
      </c>
      <c r="Q14">
        <v>0</v>
      </c>
      <c r="R14">
        <v>1</v>
      </c>
      <c r="S14">
        <v>0</v>
      </c>
      <c r="T14">
        <v>0</v>
      </c>
      <c r="U14">
        <v>0</v>
      </c>
      <c r="V14">
        <v>0</v>
      </c>
      <c r="W14">
        <v>0</v>
      </c>
      <c r="X14">
        <v>1</v>
      </c>
      <c r="Y14" t="s">
        <v>103</v>
      </c>
      <c r="Z14">
        <v>0</v>
      </c>
      <c r="AA14">
        <v>0</v>
      </c>
      <c r="AB14">
        <v>0</v>
      </c>
      <c r="AC14">
        <v>0</v>
      </c>
      <c r="AD14">
        <v>1</v>
      </c>
      <c r="AE14">
        <v>0</v>
      </c>
      <c r="AH14">
        <v>1</v>
      </c>
      <c r="AI14">
        <v>1</v>
      </c>
      <c r="AJ14">
        <v>2719.5784266178998</v>
      </c>
      <c r="AL14">
        <v>1</v>
      </c>
      <c r="AV14" t="s">
        <v>103</v>
      </c>
      <c r="AW14">
        <v>0</v>
      </c>
    </row>
    <row r="15" spans="1:49" x14ac:dyDescent="0.3">
      <c r="A15" t="s">
        <v>205</v>
      </c>
      <c r="B15" t="s">
        <v>62</v>
      </c>
      <c r="C15" t="s">
        <v>203</v>
      </c>
      <c r="E15" t="s">
        <v>174</v>
      </c>
      <c r="F15">
        <v>0.8</v>
      </c>
      <c r="G15" t="s">
        <v>72</v>
      </c>
      <c r="H15">
        <v>0</v>
      </c>
      <c r="I15">
        <v>20</v>
      </c>
      <c r="J15">
        <v>0</v>
      </c>
      <c r="K15">
        <v>0</v>
      </c>
      <c r="L15" t="s">
        <v>72</v>
      </c>
      <c r="M15">
        <v>0</v>
      </c>
      <c r="N15" t="s">
        <v>7</v>
      </c>
      <c r="Q15">
        <v>0.3</v>
      </c>
      <c r="R15">
        <v>1</v>
      </c>
      <c r="S15">
        <v>1417.02668259904</v>
      </c>
      <c r="T15">
        <v>0</v>
      </c>
      <c r="U15">
        <v>0</v>
      </c>
      <c r="V15">
        <v>0</v>
      </c>
      <c r="W15">
        <v>0</v>
      </c>
      <c r="X15">
        <v>1</v>
      </c>
      <c r="Y15" t="s">
        <v>103</v>
      </c>
      <c r="Z15">
        <v>0</v>
      </c>
      <c r="AA15">
        <v>0</v>
      </c>
      <c r="AB15">
        <v>0</v>
      </c>
      <c r="AC15">
        <v>0</v>
      </c>
      <c r="AD15">
        <v>1</v>
      </c>
      <c r="AE15">
        <v>0</v>
      </c>
      <c r="AH15">
        <v>1</v>
      </c>
      <c r="AI15">
        <v>1</v>
      </c>
      <c r="AJ15">
        <v>3.0748994367908999E-4</v>
      </c>
      <c r="AK15" t="s">
        <v>189</v>
      </c>
      <c r="AL15">
        <v>-0.15840000000000001</v>
      </c>
      <c r="AV15" t="s">
        <v>103</v>
      </c>
      <c r="AW15">
        <v>0</v>
      </c>
    </row>
    <row r="16" spans="1:49" x14ac:dyDescent="0.3">
      <c r="A16" t="s">
        <v>206</v>
      </c>
      <c r="B16" t="s">
        <v>64</v>
      </c>
      <c r="C16" t="s">
        <v>203</v>
      </c>
      <c r="E16" t="s">
        <v>174</v>
      </c>
      <c r="F16">
        <v>0.8</v>
      </c>
      <c r="G16" t="s">
        <v>72</v>
      </c>
      <c r="H16">
        <v>0</v>
      </c>
      <c r="I16">
        <v>20</v>
      </c>
      <c r="J16">
        <v>0</v>
      </c>
      <c r="K16">
        <v>0</v>
      </c>
      <c r="L16" t="s">
        <v>72</v>
      </c>
      <c r="M16">
        <v>0</v>
      </c>
      <c r="N16" t="s">
        <v>7</v>
      </c>
      <c r="Q16">
        <v>0.3</v>
      </c>
      <c r="R16">
        <v>1</v>
      </c>
      <c r="S16">
        <v>1417.02668259904</v>
      </c>
      <c r="T16">
        <v>0</v>
      </c>
      <c r="U16">
        <v>0</v>
      </c>
      <c r="V16">
        <v>0</v>
      </c>
      <c r="W16">
        <v>0</v>
      </c>
      <c r="X16">
        <v>1</v>
      </c>
      <c r="Y16" t="s">
        <v>103</v>
      </c>
      <c r="Z16">
        <v>0</v>
      </c>
      <c r="AA16">
        <v>0</v>
      </c>
      <c r="AB16">
        <v>0</v>
      </c>
      <c r="AC16">
        <v>0</v>
      </c>
      <c r="AD16">
        <v>1</v>
      </c>
      <c r="AE16">
        <v>0</v>
      </c>
      <c r="AH16">
        <v>1</v>
      </c>
      <c r="AI16">
        <v>1</v>
      </c>
      <c r="AJ16">
        <v>1.1023781995864799E-3</v>
      </c>
      <c r="AK16" t="s">
        <v>191</v>
      </c>
      <c r="AL16">
        <v>-0.15840000000000001</v>
      </c>
      <c r="AV16" t="s">
        <v>103</v>
      </c>
      <c r="AW16">
        <v>0</v>
      </c>
    </row>
    <row r="17" spans="1:49" x14ac:dyDescent="0.3">
      <c r="A17" t="s">
        <v>207</v>
      </c>
      <c r="B17" t="s">
        <v>189</v>
      </c>
      <c r="C17" t="s">
        <v>191</v>
      </c>
      <c r="E17" t="s">
        <v>176</v>
      </c>
      <c r="F17">
        <v>1</v>
      </c>
      <c r="G17" t="s">
        <v>72</v>
      </c>
      <c r="H17">
        <v>0</v>
      </c>
      <c r="I17">
        <v>50</v>
      </c>
      <c r="J17">
        <v>0</v>
      </c>
      <c r="K17">
        <v>0</v>
      </c>
      <c r="L17" t="s">
        <v>72</v>
      </c>
      <c r="M17">
        <v>0</v>
      </c>
      <c r="N17" t="s">
        <v>7</v>
      </c>
      <c r="Q17">
        <v>-1</v>
      </c>
      <c r="R17">
        <v>1</v>
      </c>
      <c r="S17">
        <v>4789.5395474981096</v>
      </c>
      <c r="T17">
        <v>0</v>
      </c>
      <c r="U17">
        <v>0</v>
      </c>
      <c r="V17">
        <v>0</v>
      </c>
      <c r="W17">
        <v>464.56899717447197</v>
      </c>
      <c r="X17">
        <v>1</v>
      </c>
      <c r="Y17" t="s">
        <v>103</v>
      </c>
      <c r="Z17">
        <v>0</v>
      </c>
      <c r="AA17">
        <v>0</v>
      </c>
      <c r="AB17">
        <v>0</v>
      </c>
      <c r="AC17">
        <v>0</v>
      </c>
      <c r="AD17">
        <v>1</v>
      </c>
      <c r="AE17">
        <v>0</v>
      </c>
      <c r="AH17">
        <v>1</v>
      </c>
      <c r="AI17">
        <v>1</v>
      </c>
      <c r="AJ17">
        <v>5.0298573961050997E-3</v>
      </c>
      <c r="AL17">
        <v>1</v>
      </c>
      <c r="AM17">
        <v>1</v>
      </c>
      <c r="AV17" t="s">
        <v>103</v>
      </c>
      <c r="AW17">
        <v>464.56899717447197</v>
      </c>
    </row>
    <row r="18" spans="1:49" x14ac:dyDescent="0.3">
      <c r="A18" t="s">
        <v>208</v>
      </c>
      <c r="B18" t="s">
        <v>58</v>
      </c>
      <c r="C18" t="s">
        <v>61</v>
      </c>
      <c r="E18" t="s">
        <v>8</v>
      </c>
      <c r="F18">
        <v>0.96946336745504402</v>
      </c>
      <c r="G18" t="s">
        <v>72</v>
      </c>
      <c r="H18">
        <v>0</v>
      </c>
      <c r="I18" t="s">
        <v>7</v>
      </c>
      <c r="J18">
        <v>1000</v>
      </c>
      <c r="K18">
        <v>0</v>
      </c>
      <c r="L18" t="s">
        <v>72</v>
      </c>
      <c r="M18">
        <v>1000</v>
      </c>
      <c r="N18">
        <v>21000</v>
      </c>
      <c r="Q18">
        <v>0</v>
      </c>
      <c r="R18">
        <v>1</v>
      </c>
      <c r="S18">
        <v>0</v>
      </c>
      <c r="T18">
        <v>0</v>
      </c>
      <c r="U18">
        <v>0</v>
      </c>
      <c r="V18">
        <v>0</v>
      </c>
      <c r="W18">
        <v>0</v>
      </c>
      <c r="X18">
        <v>1</v>
      </c>
      <c r="Y18" t="s">
        <v>103</v>
      </c>
      <c r="Z18">
        <v>0</v>
      </c>
      <c r="AA18">
        <v>0</v>
      </c>
      <c r="AB18">
        <v>0</v>
      </c>
      <c r="AC18">
        <v>0</v>
      </c>
      <c r="AD18">
        <v>1</v>
      </c>
      <c r="AE18">
        <v>0</v>
      </c>
      <c r="AH18">
        <v>1</v>
      </c>
      <c r="AI18">
        <v>1</v>
      </c>
      <c r="AJ18">
        <v>21000</v>
      </c>
      <c r="AL18">
        <v>1</v>
      </c>
      <c r="AN18">
        <v>500</v>
      </c>
      <c r="AO18">
        <v>1</v>
      </c>
      <c r="AP18">
        <v>0</v>
      </c>
      <c r="AQ18" t="s">
        <v>127</v>
      </c>
      <c r="AR18" t="s">
        <v>128</v>
      </c>
      <c r="AS18">
        <v>1</v>
      </c>
      <c r="AT18">
        <v>0.96184305038492401</v>
      </c>
      <c r="AV18" t="s">
        <v>72</v>
      </c>
      <c r="AW18">
        <v>464.56899717447197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5"/>
  <sheetViews>
    <sheetView workbookViewId="0">
      <selection activeCell="A4" activeCellId="1" sqref="A1:XFD2 A4:XFD4"/>
    </sheetView>
  </sheetViews>
  <sheetFormatPr defaultRowHeight="14.4" x14ac:dyDescent="0.3"/>
  <sheetData>
    <row r="1" spans="1:35" x14ac:dyDescent="0.3">
      <c r="A1" t="s">
        <v>162</v>
      </c>
      <c r="B1" t="s">
        <v>67</v>
      </c>
      <c r="C1" t="s">
        <v>52</v>
      </c>
      <c r="D1" t="s">
        <v>43</v>
      </c>
      <c r="E1" t="s">
        <v>73</v>
      </c>
      <c r="F1" t="s">
        <v>74</v>
      </c>
      <c r="G1" t="s">
        <v>75</v>
      </c>
      <c r="H1" t="s">
        <v>76</v>
      </c>
      <c r="I1" t="s">
        <v>77</v>
      </c>
      <c r="J1" t="s">
        <v>194</v>
      </c>
      <c r="K1" t="s">
        <v>78</v>
      </c>
      <c r="L1" t="s">
        <v>79</v>
      </c>
      <c r="M1" t="s">
        <v>68</v>
      </c>
      <c r="N1" t="s">
        <v>69</v>
      </c>
      <c r="O1" t="s">
        <v>214</v>
      </c>
      <c r="P1" t="s">
        <v>215</v>
      </c>
      <c r="Q1" t="s">
        <v>70</v>
      </c>
      <c r="R1" t="s">
        <v>46</v>
      </c>
      <c r="S1" t="s">
        <v>135</v>
      </c>
      <c r="T1" t="s">
        <v>82</v>
      </c>
      <c r="U1" t="s">
        <v>83</v>
      </c>
      <c r="V1" t="s">
        <v>136</v>
      </c>
      <c r="W1" t="s">
        <v>86</v>
      </c>
      <c r="X1" t="s">
        <v>71</v>
      </c>
      <c r="Y1" t="s">
        <v>84</v>
      </c>
      <c r="Z1" t="s">
        <v>85</v>
      </c>
      <c r="AA1" t="s">
        <v>137</v>
      </c>
      <c r="AB1" t="s">
        <v>138</v>
      </c>
      <c r="AC1" t="s">
        <v>139</v>
      </c>
      <c r="AD1" t="s">
        <v>140</v>
      </c>
      <c r="AE1" t="s">
        <v>141</v>
      </c>
      <c r="AF1" t="s">
        <v>142</v>
      </c>
      <c r="AG1" t="s">
        <v>143</v>
      </c>
      <c r="AH1" t="s">
        <v>144</v>
      </c>
      <c r="AI1" t="s">
        <v>145</v>
      </c>
    </row>
    <row r="2" spans="1:35" x14ac:dyDescent="0.3">
      <c r="A2" t="s">
        <v>146</v>
      </c>
      <c r="B2" t="s">
        <v>58</v>
      </c>
      <c r="C2" t="s">
        <v>63</v>
      </c>
      <c r="E2">
        <v>5553.9</v>
      </c>
      <c r="F2">
        <v>0</v>
      </c>
      <c r="G2" t="s">
        <v>103</v>
      </c>
      <c r="H2">
        <v>0</v>
      </c>
      <c r="I2" t="s">
        <v>7</v>
      </c>
      <c r="K2">
        <v>-1</v>
      </c>
      <c r="L2">
        <v>1</v>
      </c>
      <c r="N2">
        <v>0</v>
      </c>
      <c r="Q2">
        <v>1</v>
      </c>
      <c r="R2" t="s">
        <v>25</v>
      </c>
      <c r="S2">
        <v>0</v>
      </c>
      <c r="T2">
        <v>0</v>
      </c>
      <c r="U2">
        <v>0</v>
      </c>
      <c r="V2">
        <v>0</v>
      </c>
      <c r="W2">
        <v>5005.4447833383801</v>
      </c>
      <c r="X2" t="s">
        <v>72</v>
      </c>
      <c r="Y2">
        <v>0</v>
      </c>
      <c r="Z2" t="s">
        <v>7</v>
      </c>
      <c r="AA2">
        <v>358994.11438902101</v>
      </c>
      <c r="AB2" t="s">
        <v>103</v>
      </c>
      <c r="AD2" t="s">
        <v>103</v>
      </c>
      <c r="AE2" t="s">
        <v>103</v>
      </c>
      <c r="AF2">
        <v>64.638202774450605</v>
      </c>
      <c r="AG2">
        <v>0.86602540378443804</v>
      </c>
      <c r="AH2">
        <v>0.86602540378443804</v>
      </c>
      <c r="AI2">
        <v>0</v>
      </c>
    </row>
    <row r="3" spans="1:35" x14ac:dyDescent="0.3">
      <c r="A3" t="s">
        <v>147</v>
      </c>
      <c r="B3" t="s">
        <v>61</v>
      </c>
      <c r="C3" t="s">
        <v>63</v>
      </c>
      <c r="E3">
        <v>2018</v>
      </c>
      <c r="F3">
        <v>0</v>
      </c>
      <c r="G3" t="s">
        <v>103</v>
      </c>
      <c r="H3">
        <v>0</v>
      </c>
      <c r="I3" t="s">
        <v>7</v>
      </c>
      <c r="K3">
        <v>-1</v>
      </c>
      <c r="L3">
        <v>1</v>
      </c>
      <c r="N3">
        <v>0</v>
      </c>
      <c r="Q3">
        <v>1</v>
      </c>
      <c r="R3" t="s">
        <v>25</v>
      </c>
      <c r="S3">
        <v>0</v>
      </c>
      <c r="T3">
        <v>0</v>
      </c>
      <c r="U3">
        <v>0</v>
      </c>
      <c r="V3">
        <v>0</v>
      </c>
      <c r="W3">
        <v>5005.4447833383801</v>
      </c>
      <c r="X3" t="s">
        <v>72</v>
      </c>
      <c r="Y3">
        <v>0</v>
      </c>
      <c r="Z3" t="s">
        <v>7</v>
      </c>
      <c r="AA3">
        <v>32389.7486477887</v>
      </c>
      <c r="AB3" t="s">
        <v>103</v>
      </c>
      <c r="AD3" t="s">
        <v>103</v>
      </c>
      <c r="AE3" t="s">
        <v>103</v>
      </c>
      <c r="AF3">
        <v>16.0504205390429</v>
      </c>
      <c r="AG3">
        <v>0.86602540378443804</v>
      </c>
      <c r="AH3">
        <v>0.86602540378443804</v>
      </c>
      <c r="AI3">
        <v>0</v>
      </c>
    </row>
    <row r="4" spans="1:35" x14ac:dyDescent="0.3">
      <c r="A4" t="s">
        <v>148</v>
      </c>
      <c r="B4" t="s">
        <v>58</v>
      </c>
      <c r="C4" t="s">
        <v>63</v>
      </c>
      <c r="E4">
        <v>4064.8</v>
      </c>
      <c r="F4">
        <v>0</v>
      </c>
      <c r="G4" t="s">
        <v>103</v>
      </c>
      <c r="H4">
        <v>0</v>
      </c>
      <c r="I4" t="s">
        <v>7</v>
      </c>
      <c r="K4">
        <v>0</v>
      </c>
      <c r="L4">
        <v>1</v>
      </c>
      <c r="N4">
        <v>0</v>
      </c>
      <c r="Q4">
        <v>1</v>
      </c>
      <c r="R4" t="s">
        <v>13</v>
      </c>
      <c r="S4">
        <v>0</v>
      </c>
      <c r="T4">
        <v>0</v>
      </c>
      <c r="U4">
        <v>0</v>
      </c>
      <c r="V4">
        <v>0</v>
      </c>
      <c r="W4">
        <v>5005.4447833383801</v>
      </c>
      <c r="X4" t="s">
        <v>72</v>
      </c>
      <c r="Y4">
        <v>0</v>
      </c>
      <c r="Z4" t="s">
        <v>7</v>
      </c>
      <c r="AA4">
        <v>7655173.0714217601</v>
      </c>
      <c r="AB4" t="s">
        <v>103</v>
      </c>
      <c r="AD4" t="s">
        <v>103</v>
      </c>
      <c r="AE4" t="s">
        <v>103</v>
      </c>
      <c r="AF4">
        <v>1883.2840659864501</v>
      </c>
      <c r="AG4">
        <v>0</v>
      </c>
      <c r="AH4">
        <v>0.9</v>
      </c>
      <c r="AI4">
        <v>0</v>
      </c>
    </row>
    <row r="5" spans="1:35" x14ac:dyDescent="0.3">
      <c r="A5" t="s">
        <v>149</v>
      </c>
      <c r="B5" t="s">
        <v>61</v>
      </c>
      <c r="C5" t="s">
        <v>63</v>
      </c>
      <c r="E5">
        <v>130</v>
      </c>
      <c r="F5">
        <v>0</v>
      </c>
      <c r="G5" t="s">
        <v>103</v>
      </c>
      <c r="H5">
        <v>0</v>
      </c>
      <c r="I5" t="s">
        <v>7</v>
      </c>
      <c r="K5">
        <v>0</v>
      </c>
      <c r="L5">
        <v>1</v>
      </c>
      <c r="N5">
        <v>0</v>
      </c>
      <c r="Q5">
        <v>1</v>
      </c>
      <c r="R5" t="s">
        <v>13</v>
      </c>
      <c r="S5">
        <v>0</v>
      </c>
      <c r="T5">
        <v>0</v>
      </c>
      <c r="U5">
        <v>0</v>
      </c>
      <c r="V5">
        <v>0</v>
      </c>
      <c r="W5">
        <v>5005.4447833383801</v>
      </c>
      <c r="X5" t="s">
        <v>72</v>
      </c>
      <c r="Y5">
        <v>0</v>
      </c>
      <c r="Z5" t="s">
        <v>7</v>
      </c>
      <c r="AA5">
        <v>244826.92857823899</v>
      </c>
      <c r="AB5" t="s">
        <v>103</v>
      </c>
      <c r="AD5" t="s">
        <v>103</v>
      </c>
      <c r="AE5" t="s">
        <v>103</v>
      </c>
      <c r="AF5">
        <v>1883.2840659864501</v>
      </c>
      <c r="AG5">
        <v>0</v>
      </c>
      <c r="AH5">
        <v>0.9</v>
      </c>
      <c r="AI5">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C12"/>
  <sheetViews>
    <sheetView workbookViewId="0">
      <selection activeCell="F26" sqref="F26"/>
    </sheetView>
  </sheetViews>
  <sheetFormatPr defaultRowHeight="14.4" x14ac:dyDescent="0.3"/>
  <sheetData>
    <row r="1" spans="1:29" x14ac:dyDescent="0.3">
      <c r="A1" t="s">
        <v>162</v>
      </c>
      <c r="B1" t="s">
        <v>67</v>
      </c>
      <c r="C1" t="s">
        <v>43</v>
      </c>
      <c r="D1" t="s">
        <v>46</v>
      </c>
      <c r="E1" t="s">
        <v>150</v>
      </c>
      <c r="F1" t="s">
        <v>151</v>
      </c>
      <c r="G1" t="s">
        <v>152</v>
      </c>
      <c r="H1" t="s">
        <v>153</v>
      </c>
      <c r="I1" t="s">
        <v>154</v>
      </c>
      <c r="J1" t="s">
        <v>216</v>
      </c>
      <c r="K1" t="s">
        <v>155</v>
      </c>
      <c r="L1" t="s">
        <v>156</v>
      </c>
      <c r="M1" t="s">
        <v>157</v>
      </c>
      <c r="N1" t="s">
        <v>158</v>
      </c>
      <c r="O1" t="s">
        <v>159</v>
      </c>
      <c r="P1" t="s">
        <v>160</v>
      </c>
      <c r="Q1" t="s">
        <v>68</v>
      </c>
      <c r="R1" t="s">
        <v>69</v>
      </c>
      <c r="S1" t="s">
        <v>217</v>
      </c>
      <c r="T1" t="s">
        <v>70</v>
      </c>
      <c r="U1" t="s">
        <v>82</v>
      </c>
      <c r="V1" t="s">
        <v>83</v>
      </c>
      <c r="W1" t="s">
        <v>136</v>
      </c>
      <c r="X1" t="s">
        <v>86</v>
      </c>
      <c r="Y1" t="s">
        <v>145</v>
      </c>
      <c r="Z1" t="s">
        <v>71</v>
      </c>
      <c r="AA1" t="s">
        <v>84</v>
      </c>
      <c r="AB1" t="s">
        <v>85</v>
      </c>
      <c r="AC1" t="s">
        <v>161</v>
      </c>
    </row>
    <row r="2" spans="1:29" x14ac:dyDescent="0.3">
      <c r="A2" t="s">
        <v>186</v>
      </c>
      <c r="B2" t="s">
        <v>186</v>
      </c>
      <c r="D2" t="s">
        <v>164</v>
      </c>
      <c r="E2" t="s">
        <v>7</v>
      </c>
      <c r="F2">
        <v>0</v>
      </c>
      <c r="G2" t="s">
        <v>103</v>
      </c>
      <c r="H2">
        <v>0</v>
      </c>
      <c r="I2" t="s">
        <v>7</v>
      </c>
      <c r="K2">
        <v>-1</v>
      </c>
      <c r="L2">
        <v>1</v>
      </c>
      <c r="M2">
        <v>0</v>
      </c>
      <c r="N2" t="s">
        <v>103</v>
      </c>
      <c r="O2" t="s">
        <v>103</v>
      </c>
      <c r="P2" t="s">
        <v>103</v>
      </c>
      <c r="R2">
        <v>0</v>
      </c>
      <c r="T2">
        <v>1</v>
      </c>
      <c r="U2">
        <v>-300</v>
      </c>
      <c r="V2">
        <v>0</v>
      </c>
      <c r="W2">
        <v>0</v>
      </c>
      <c r="X2">
        <v>0</v>
      </c>
      <c r="Y2">
        <v>0</v>
      </c>
      <c r="Z2" t="s">
        <v>72</v>
      </c>
      <c r="AA2">
        <v>0</v>
      </c>
      <c r="AB2" t="s">
        <v>7</v>
      </c>
      <c r="AC2" t="s">
        <v>7</v>
      </c>
    </row>
    <row r="3" spans="1:29" x14ac:dyDescent="0.3">
      <c r="A3" t="s">
        <v>189</v>
      </c>
      <c r="B3" t="s">
        <v>189</v>
      </c>
      <c r="D3" t="s">
        <v>166</v>
      </c>
      <c r="E3">
        <v>0</v>
      </c>
      <c r="F3">
        <v>0</v>
      </c>
      <c r="G3" t="s">
        <v>72</v>
      </c>
      <c r="H3">
        <v>0</v>
      </c>
      <c r="I3" t="s">
        <v>7</v>
      </c>
      <c r="K3">
        <v>0</v>
      </c>
      <c r="L3">
        <v>1</v>
      </c>
      <c r="M3">
        <v>0</v>
      </c>
      <c r="N3" t="s">
        <v>103</v>
      </c>
      <c r="O3" t="s">
        <v>103</v>
      </c>
      <c r="P3" t="s">
        <v>103</v>
      </c>
      <c r="R3">
        <v>0</v>
      </c>
      <c r="T3">
        <v>1</v>
      </c>
      <c r="U3">
        <v>0</v>
      </c>
      <c r="V3">
        <v>0</v>
      </c>
      <c r="W3">
        <v>0</v>
      </c>
      <c r="X3">
        <v>6.7837683862811398</v>
      </c>
      <c r="Y3">
        <v>0</v>
      </c>
      <c r="Z3" t="s">
        <v>72</v>
      </c>
      <c r="AA3">
        <v>0</v>
      </c>
      <c r="AB3" t="s">
        <v>7</v>
      </c>
      <c r="AC3">
        <v>1.7352546538565199</v>
      </c>
    </row>
    <row r="4" spans="1:29" x14ac:dyDescent="0.3">
      <c r="A4" t="s">
        <v>191</v>
      </c>
      <c r="B4" t="s">
        <v>191</v>
      </c>
      <c r="D4" t="s">
        <v>166</v>
      </c>
      <c r="E4">
        <v>0</v>
      </c>
      <c r="F4">
        <v>0</v>
      </c>
      <c r="G4" t="s">
        <v>72</v>
      </c>
      <c r="H4">
        <v>0</v>
      </c>
      <c r="I4" t="s">
        <v>7</v>
      </c>
      <c r="K4">
        <v>0</v>
      </c>
      <c r="L4">
        <v>1</v>
      </c>
      <c r="M4">
        <v>0</v>
      </c>
      <c r="N4" t="s">
        <v>103</v>
      </c>
      <c r="O4" t="s">
        <v>103</v>
      </c>
      <c r="P4" t="s">
        <v>103</v>
      </c>
      <c r="R4">
        <v>0</v>
      </c>
      <c r="T4">
        <v>1</v>
      </c>
      <c r="U4">
        <v>0</v>
      </c>
      <c r="V4">
        <v>0</v>
      </c>
      <c r="W4">
        <v>0</v>
      </c>
      <c r="X4">
        <v>6.7837683862811398</v>
      </c>
      <c r="Y4">
        <v>0</v>
      </c>
      <c r="Z4" t="s">
        <v>72</v>
      </c>
      <c r="AA4">
        <v>0</v>
      </c>
      <c r="AB4" t="s">
        <v>7</v>
      </c>
      <c r="AC4">
        <v>1.73526199411116</v>
      </c>
    </row>
    <row r="5" spans="1:29" x14ac:dyDescent="0.3">
      <c r="A5" t="s">
        <v>200</v>
      </c>
      <c r="B5" t="s">
        <v>200</v>
      </c>
      <c r="D5" t="s">
        <v>168</v>
      </c>
      <c r="E5">
        <v>0</v>
      </c>
      <c r="F5">
        <v>0</v>
      </c>
      <c r="G5" t="s">
        <v>72</v>
      </c>
      <c r="H5">
        <v>0</v>
      </c>
      <c r="I5">
        <v>33909684.468837999</v>
      </c>
      <c r="K5">
        <v>0</v>
      </c>
      <c r="L5">
        <v>1</v>
      </c>
      <c r="M5">
        <v>0</v>
      </c>
      <c r="N5" t="s">
        <v>103</v>
      </c>
      <c r="O5" t="s">
        <v>103</v>
      </c>
      <c r="P5" t="s">
        <v>103</v>
      </c>
      <c r="R5">
        <v>0</v>
      </c>
      <c r="T5">
        <v>1</v>
      </c>
      <c r="U5">
        <v>-0.1</v>
      </c>
      <c r="V5">
        <v>0</v>
      </c>
      <c r="W5">
        <v>0</v>
      </c>
      <c r="X5">
        <v>0.82191780821917804</v>
      </c>
      <c r="Y5">
        <v>0</v>
      </c>
      <c r="Z5" t="s">
        <v>72</v>
      </c>
      <c r="AA5">
        <v>0</v>
      </c>
      <c r="AB5">
        <v>50</v>
      </c>
      <c r="AC5">
        <v>15.006896957768401</v>
      </c>
    </row>
    <row r="6" spans="1:29" x14ac:dyDescent="0.3">
      <c r="A6" t="s">
        <v>201</v>
      </c>
      <c r="B6" t="s">
        <v>201</v>
      </c>
      <c r="D6" t="s">
        <v>168</v>
      </c>
      <c r="E6">
        <v>0</v>
      </c>
      <c r="F6">
        <v>0</v>
      </c>
      <c r="G6" t="s">
        <v>72</v>
      </c>
      <c r="H6">
        <v>0</v>
      </c>
      <c r="I6">
        <v>0</v>
      </c>
      <c r="K6">
        <v>0</v>
      </c>
      <c r="L6">
        <v>1</v>
      </c>
      <c r="M6">
        <v>0</v>
      </c>
      <c r="N6" t="s">
        <v>103</v>
      </c>
      <c r="O6" t="s">
        <v>103</v>
      </c>
      <c r="P6" t="s">
        <v>103</v>
      </c>
      <c r="R6">
        <v>0</v>
      </c>
      <c r="T6">
        <v>1</v>
      </c>
      <c r="U6">
        <v>-0.1</v>
      </c>
      <c r="V6">
        <v>0</v>
      </c>
      <c r="W6">
        <v>0</v>
      </c>
      <c r="X6">
        <v>0.82191780821917804</v>
      </c>
      <c r="Y6">
        <v>0</v>
      </c>
      <c r="Z6" t="s">
        <v>72</v>
      </c>
      <c r="AA6">
        <v>0</v>
      </c>
      <c r="AB6">
        <v>50</v>
      </c>
      <c r="AC6">
        <v>0</v>
      </c>
    </row>
    <row r="7" spans="1:29" x14ac:dyDescent="0.3">
      <c r="A7" t="s">
        <v>218</v>
      </c>
      <c r="B7" t="s">
        <v>203</v>
      </c>
      <c r="D7" t="s">
        <v>170</v>
      </c>
      <c r="E7">
        <v>0</v>
      </c>
      <c r="F7">
        <v>0</v>
      </c>
      <c r="G7" t="s">
        <v>72</v>
      </c>
      <c r="H7">
        <v>0</v>
      </c>
      <c r="I7" t="s">
        <v>7</v>
      </c>
      <c r="K7">
        <v>0</v>
      </c>
      <c r="L7">
        <v>1</v>
      </c>
      <c r="M7">
        <v>0</v>
      </c>
      <c r="N7" t="s">
        <v>103</v>
      </c>
      <c r="O7" t="s">
        <v>103</v>
      </c>
      <c r="P7" t="s">
        <v>103</v>
      </c>
      <c r="R7">
        <v>0</v>
      </c>
      <c r="T7">
        <v>1</v>
      </c>
      <c r="U7">
        <v>0</v>
      </c>
      <c r="V7">
        <v>0</v>
      </c>
      <c r="W7">
        <v>0</v>
      </c>
      <c r="X7">
        <v>0.489073361783123</v>
      </c>
      <c r="Y7">
        <v>0</v>
      </c>
      <c r="Z7" t="s">
        <v>72</v>
      </c>
      <c r="AA7">
        <v>0</v>
      </c>
      <c r="AB7" t="s">
        <v>7</v>
      </c>
      <c r="AC7">
        <v>24.3533031770489</v>
      </c>
    </row>
    <row r="8" spans="1:29" x14ac:dyDescent="0.3">
      <c r="A8" t="s">
        <v>219</v>
      </c>
      <c r="B8" t="s">
        <v>62</v>
      </c>
      <c r="D8" t="s">
        <v>220</v>
      </c>
      <c r="E8">
        <v>0</v>
      </c>
      <c r="F8">
        <v>0</v>
      </c>
      <c r="G8" t="s">
        <v>72</v>
      </c>
      <c r="H8">
        <v>0</v>
      </c>
      <c r="I8" t="s">
        <v>7</v>
      </c>
      <c r="K8">
        <v>0</v>
      </c>
      <c r="L8">
        <v>1</v>
      </c>
      <c r="M8">
        <v>0</v>
      </c>
      <c r="N8" t="s">
        <v>103</v>
      </c>
      <c r="O8" t="s">
        <v>103</v>
      </c>
      <c r="P8" t="s">
        <v>103</v>
      </c>
      <c r="R8">
        <v>0</v>
      </c>
      <c r="T8">
        <v>1</v>
      </c>
      <c r="U8">
        <v>0</v>
      </c>
      <c r="V8">
        <v>0</v>
      </c>
      <c r="W8">
        <v>0</v>
      </c>
      <c r="X8">
        <v>60.958238864877401</v>
      </c>
      <c r="Y8">
        <v>0</v>
      </c>
      <c r="Z8" t="s">
        <v>72</v>
      </c>
      <c r="AA8">
        <v>0</v>
      </c>
      <c r="AB8">
        <v>30</v>
      </c>
      <c r="AC8">
        <v>0.47680495305024201</v>
      </c>
    </row>
    <row r="9" spans="1:29" x14ac:dyDescent="0.3">
      <c r="A9" t="s">
        <v>221</v>
      </c>
      <c r="B9" t="s">
        <v>64</v>
      </c>
      <c r="D9" t="s">
        <v>220</v>
      </c>
      <c r="E9">
        <v>0</v>
      </c>
      <c r="F9">
        <v>0</v>
      </c>
      <c r="G9" t="s">
        <v>72</v>
      </c>
      <c r="H9">
        <v>0</v>
      </c>
      <c r="I9" t="s">
        <v>7</v>
      </c>
      <c r="K9">
        <v>0</v>
      </c>
      <c r="L9">
        <v>1</v>
      </c>
      <c r="M9">
        <v>0</v>
      </c>
      <c r="N9" t="s">
        <v>103</v>
      </c>
      <c r="O9" t="s">
        <v>103</v>
      </c>
      <c r="P9" t="s">
        <v>103</v>
      </c>
      <c r="R9">
        <v>0</v>
      </c>
      <c r="T9">
        <v>1</v>
      </c>
      <c r="U9">
        <v>0</v>
      </c>
      <c r="V9">
        <v>0</v>
      </c>
      <c r="W9">
        <v>0</v>
      </c>
      <c r="X9">
        <v>60.958238864877401</v>
      </c>
      <c r="Y9">
        <v>0</v>
      </c>
      <c r="Z9" t="s">
        <v>72</v>
      </c>
      <c r="AA9">
        <v>0</v>
      </c>
      <c r="AB9">
        <v>30</v>
      </c>
      <c r="AC9">
        <v>0.550256516158946</v>
      </c>
    </row>
    <row r="10" spans="1:29" x14ac:dyDescent="0.3">
      <c r="A10" t="s">
        <v>65</v>
      </c>
      <c r="B10" t="s">
        <v>65</v>
      </c>
      <c r="D10" t="s">
        <v>31</v>
      </c>
      <c r="E10">
        <v>0</v>
      </c>
      <c r="F10">
        <v>0</v>
      </c>
      <c r="G10" t="s">
        <v>72</v>
      </c>
      <c r="H10">
        <v>0</v>
      </c>
      <c r="I10" t="s">
        <v>7</v>
      </c>
      <c r="K10">
        <v>0</v>
      </c>
      <c r="L10">
        <v>1</v>
      </c>
      <c r="M10">
        <v>0</v>
      </c>
      <c r="N10" t="s">
        <v>103</v>
      </c>
      <c r="O10" t="s">
        <v>103</v>
      </c>
      <c r="P10" t="s">
        <v>103</v>
      </c>
      <c r="R10">
        <v>0</v>
      </c>
      <c r="T10">
        <v>1</v>
      </c>
      <c r="U10">
        <v>0</v>
      </c>
      <c r="V10">
        <v>0</v>
      </c>
      <c r="W10">
        <v>0</v>
      </c>
      <c r="X10">
        <v>176.086811288456</v>
      </c>
      <c r="Y10">
        <v>0</v>
      </c>
      <c r="Z10" t="s">
        <v>72</v>
      </c>
      <c r="AA10">
        <v>0</v>
      </c>
      <c r="AB10">
        <v>30</v>
      </c>
      <c r="AC10">
        <v>655413.98675183696</v>
      </c>
    </row>
    <row r="11" spans="1:29" x14ac:dyDescent="0.3">
      <c r="A11" t="s">
        <v>66</v>
      </c>
      <c r="B11" t="s">
        <v>66</v>
      </c>
      <c r="D11" t="s">
        <v>31</v>
      </c>
      <c r="E11">
        <v>0</v>
      </c>
      <c r="F11">
        <v>0</v>
      </c>
      <c r="G11" t="s">
        <v>72</v>
      </c>
      <c r="H11">
        <v>0</v>
      </c>
      <c r="I11" t="s">
        <v>7</v>
      </c>
      <c r="K11">
        <v>0</v>
      </c>
      <c r="L11">
        <v>1</v>
      </c>
      <c r="M11">
        <v>0</v>
      </c>
      <c r="N11" t="s">
        <v>103</v>
      </c>
      <c r="O11" t="s">
        <v>103</v>
      </c>
      <c r="P11" t="s">
        <v>103</v>
      </c>
      <c r="R11">
        <v>0</v>
      </c>
      <c r="T11">
        <v>1</v>
      </c>
      <c r="U11">
        <v>0</v>
      </c>
      <c r="V11">
        <v>0</v>
      </c>
      <c r="W11">
        <v>0</v>
      </c>
      <c r="X11">
        <v>176.086811288456</v>
      </c>
      <c r="Y11">
        <v>0</v>
      </c>
      <c r="Z11" t="s">
        <v>72</v>
      </c>
      <c r="AA11">
        <v>0</v>
      </c>
      <c r="AB11">
        <v>30</v>
      </c>
      <c r="AC11">
        <v>9064.7493969201096</v>
      </c>
    </row>
    <row r="12" spans="1:29" x14ac:dyDescent="0.3">
      <c r="A12" t="s">
        <v>222</v>
      </c>
      <c r="B12" t="s">
        <v>213</v>
      </c>
      <c r="D12" t="s">
        <v>172</v>
      </c>
      <c r="E12">
        <v>0</v>
      </c>
      <c r="F12">
        <v>0</v>
      </c>
      <c r="G12" t="s">
        <v>72</v>
      </c>
      <c r="H12">
        <v>0</v>
      </c>
      <c r="I12" t="s">
        <v>7</v>
      </c>
      <c r="K12">
        <v>0</v>
      </c>
      <c r="L12">
        <v>1</v>
      </c>
      <c r="M12">
        <v>0</v>
      </c>
      <c r="N12" t="s">
        <v>103</v>
      </c>
      <c r="O12" t="s">
        <v>103</v>
      </c>
      <c r="P12" t="s">
        <v>103</v>
      </c>
      <c r="R12">
        <v>0</v>
      </c>
      <c r="T12">
        <v>1</v>
      </c>
      <c r="U12">
        <v>0</v>
      </c>
      <c r="V12">
        <v>0</v>
      </c>
      <c r="W12">
        <v>0</v>
      </c>
      <c r="X12">
        <v>0.15420307365899499</v>
      </c>
      <c r="Y12">
        <v>0</v>
      </c>
      <c r="Z12" t="s">
        <v>72</v>
      </c>
      <c r="AA12">
        <v>0</v>
      </c>
      <c r="AB12" t="s">
        <v>7</v>
      </c>
      <c r="AC12">
        <v>70.466031723325798</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25"/>
  <sheetViews>
    <sheetView workbookViewId="0">
      <selection sqref="A1:A1048576"/>
    </sheetView>
  </sheetViews>
  <sheetFormatPr defaultRowHeight="14.4" x14ac:dyDescent="0.3"/>
  <sheetData>
    <row r="1" spans="1:2" x14ac:dyDescent="0.3">
      <c r="A1" t="s">
        <v>58</v>
      </c>
      <c r="B1" t="s">
        <v>61</v>
      </c>
    </row>
    <row r="2" spans="1:2" x14ac:dyDescent="0.3">
      <c r="A2">
        <v>22096.8054733276</v>
      </c>
      <c r="B2">
        <v>753.19456481933503</v>
      </c>
    </row>
    <row r="3" spans="1:2" x14ac:dyDescent="0.3">
      <c r="A3">
        <v>20888.008621215798</v>
      </c>
      <c r="B3">
        <v>711.99136352539006</v>
      </c>
    </row>
    <row r="4" spans="1:2" x14ac:dyDescent="0.3">
      <c r="A4">
        <v>19587.343338012601</v>
      </c>
      <c r="B4">
        <v>667.65670776367097</v>
      </c>
    </row>
    <row r="5" spans="1:2" x14ac:dyDescent="0.3">
      <c r="A5">
        <v>18817.581481933499</v>
      </c>
      <c r="B5">
        <v>641.41851043701104</v>
      </c>
    </row>
    <row r="6" spans="1:2" x14ac:dyDescent="0.3">
      <c r="A6">
        <v>18860.131164550701</v>
      </c>
      <c r="B6">
        <v>642.868858337402</v>
      </c>
    </row>
    <row r="7" spans="1:2" x14ac:dyDescent="0.3">
      <c r="A7">
        <v>19708.222991943301</v>
      </c>
      <c r="B7">
        <v>671.77701568603504</v>
      </c>
    </row>
    <row r="8" spans="1:2" x14ac:dyDescent="0.3">
      <c r="A8">
        <v>20146.290946960398</v>
      </c>
      <c r="B8">
        <v>686.70906829833905</v>
      </c>
    </row>
    <row r="9" spans="1:2" x14ac:dyDescent="0.3">
      <c r="A9">
        <v>20500.2266769409</v>
      </c>
      <c r="B9">
        <v>698.77337646484295</v>
      </c>
    </row>
    <row r="10" spans="1:2" x14ac:dyDescent="0.3">
      <c r="A10">
        <v>21604.583358764601</v>
      </c>
      <c r="B10">
        <v>736.41661071777298</v>
      </c>
    </row>
    <row r="11" spans="1:2" x14ac:dyDescent="0.3">
      <c r="A11">
        <v>22913.9521331787</v>
      </c>
      <c r="B11">
        <v>781.04792022704999</v>
      </c>
    </row>
    <row r="12" spans="1:2" x14ac:dyDescent="0.3">
      <c r="A12">
        <v>23737.867950439399</v>
      </c>
      <c r="B12">
        <v>809.13202667236305</v>
      </c>
    </row>
    <row r="13" spans="1:2" x14ac:dyDescent="0.3">
      <c r="A13">
        <v>24342.2664260864</v>
      </c>
      <c r="B13">
        <v>829.73361968994095</v>
      </c>
    </row>
    <row r="14" spans="1:2" x14ac:dyDescent="0.3">
      <c r="A14">
        <v>23179.887351989699</v>
      </c>
      <c r="B14">
        <v>790.11264038085903</v>
      </c>
    </row>
    <row r="15" spans="1:2" x14ac:dyDescent="0.3">
      <c r="A15">
        <v>22326.960304260199</v>
      </c>
      <c r="B15">
        <v>761.039649963378</v>
      </c>
    </row>
    <row r="16" spans="1:2" x14ac:dyDescent="0.3">
      <c r="A16">
        <v>22780.5009613037</v>
      </c>
      <c r="B16">
        <v>776.49910736083905</v>
      </c>
    </row>
    <row r="17" spans="1:2" x14ac:dyDescent="0.3">
      <c r="A17">
        <v>24151.7599487304</v>
      </c>
      <c r="B17">
        <v>823.24002075195301</v>
      </c>
    </row>
    <row r="18" spans="1:2" x14ac:dyDescent="0.3">
      <c r="A18">
        <v>27578.9406433105</v>
      </c>
      <c r="B18">
        <v>940.059326171875</v>
      </c>
    </row>
    <row r="19" spans="1:2" x14ac:dyDescent="0.3">
      <c r="A19">
        <v>28767.4296875</v>
      </c>
      <c r="B19">
        <v>980.5703125</v>
      </c>
    </row>
    <row r="20" spans="1:2" x14ac:dyDescent="0.3">
      <c r="A20">
        <v>29461.762512206999</v>
      </c>
      <c r="B20">
        <v>1004.23742675781</v>
      </c>
    </row>
    <row r="21" spans="1:2" x14ac:dyDescent="0.3">
      <c r="A21">
        <v>28889.2763671875</v>
      </c>
      <c r="B21">
        <v>984.72360229492097</v>
      </c>
    </row>
    <row r="22" spans="1:2" x14ac:dyDescent="0.3">
      <c r="A22">
        <v>27626.3254547119</v>
      </c>
      <c r="B22">
        <v>941.67448425292901</v>
      </c>
    </row>
    <row r="23" spans="1:2" x14ac:dyDescent="0.3">
      <c r="A23">
        <v>25685.481361389098</v>
      </c>
      <c r="B23">
        <v>875.51863861083905</v>
      </c>
    </row>
    <row r="24" spans="1:2" x14ac:dyDescent="0.3">
      <c r="A24">
        <v>23116.062927245999</v>
      </c>
      <c r="B24">
        <v>787.93709564208905</v>
      </c>
    </row>
    <row r="25" spans="1:2" x14ac:dyDescent="0.3">
      <c r="A25">
        <v>20935.393531799298</v>
      </c>
      <c r="B25">
        <v>713.60652160644497</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25"/>
  <sheetViews>
    <sheetView workbookViewId="0">
      <selection sqref="A1:A1048576"/>
    </sheetView>
  </sheetViews>
  <sheetFormatPr defaultRowHeight="14.4" x14ac:dyDescent="0.3"/>
  <sheetData>
    <row r="1" spans="1:8" x14ac:dyDescent="0.3">
      <c r="A1" t="s">
        <v>109</v>
      </c>
      <c r="B1" t="s">
        <v>107</v>
      </c>
      <c r="C1" t="s">
        <v>105</v>
      </c>
      <c r="D1" t="s">
        <v>111</v>
      </c>
      <c r="E1" t="s">
        <v>110</v>
      </c>
      <c r="F1" t="s">
        <v>108</v>
      </c>
      <c r="G1" t="s">
        <v>106</v>
      </c>
      <c r="H1" t="s">
        <v>112</v>
      </c>
    </row>
    <row r="2" spans="1:8" x14ac:dyDescent="0.3">
      <c r="A2">
        <v>0.58064639079859603</v>
      </c>
      <c r="B2">
        <v>0.35269669830129302</v>
      </c>
      <c r="C2">
        <v>0</v>
      </c>
      <c r="D2">
        <v>0.21477475956304601</v>
      </c>
      <c r="E2">
        <v>0.11786382049025999</v>
      </c>
      <c r="F2">
        <v>5.1997907969588697E-2</v>
      </c>
      <c r="G2">
        <v>0</v>
      </c>
      <c r="H2">
        <v>0.21477475956304601</v>
      </c>
    </row>
    <row r="3" spans="1:8" x14ac:dyDescent="0.3">
      <c r="A3">
        <v>0.57058267946077801</v>
      </c>
      <c r="B3">
        <v>0.36569755050411601</v>
      </c>
      <c r="C3">
        <v>0</v>
      </c>
      <c r="D3">
        <v>0.213117286163962</v>
      </c>
      <c r="E3">
        <v>0.11404660791530701</v>
      </c>
      <c r="F3">
        <v>4.9545766188138503E-2</v>
      </c>
      <c r="G3">
        <v>0</v>
      </c>
      <c r="H3">
        <v>0.213117286163962</v>
      </c>
    </row>
    <row r="4" spans="1:8" x14ac:dyDescent="0.3">
      <c r="A4">
        <v>0.55092005856547699</v>
      </c>
      <c r="B4">
        <v>0.37008760168247601</v>
      </c>
      <c r="C4">
        <v>0</v>
      </c>
      <c r="D4">
        <v>0.21338438216209901</v>
      </c>
      <c r="E4">
        <v>0.1167053801979</v>
      </c>
      <c r="F4">
        <v>5.1080551984154697E-2</v>
      </c>
      <c r="G4">
        <v>0</v>
      </c>
      <c r="H4">
        <v>0.21338438216209901</v>
      </c>
    </row>
    <row r="5" spans="1:8" x14ac:dyDescent="0.3">
      <c r="A5">
        <v>0.53140405085967202</v>
      </c>
      <c r="B5">
        <v>0.37017201185614002</v>
      </c>
      <c r="C5">
        <v>0</v>
      </c>
      <c r="D5">
        <v>0.21300123021342299</v>
      </c>
      <c r="E5">
        <v>0.11898979969225</v>
      </c>
      <c r="F5">
        <v>6.8680296035855196E-2</v>
      </c>
      <c r="G5">
        <v>0</v>
      </c>
      <c r="H5">
        <v>0.21300123021342299</v>
      </c>
    </row>
    <row r="6" spans="1:8" x14ac:dyDescent="0.3">
      <c r="A6">
        <v>0.51817625805393497</v>
      </c>
      <c r="B6">
        <v>0.36273745533482699</v>
      </c>
      <c r="C6">
        <v>0</v>
      </c>
      <c r="D6">
        <v>0.21318400257110601</v>
      </c>
      <c r="E6">
        <v>0.120063434305757</v>
      </c>
      <c r="F6">
        <v>8.0355488547558904E-2</v>
      </c>
      <c r="G6">
        <v>0</v>
      </c>
      <c r="H6">
        <v>0.21318400257110601</v>
      </c>
    </row>
    <row r="7" spans="1:8" x14ac:dyDescent="0.3">
      <c r="A7">
        <v>0.51740589622241795</v>
      </c>
      <c r="B7">
        <v>0.34817729019439703</v>
      </c>
      <c r="C7">
        <v>0</v>
      </c>
      <c r="D7">
        <v>0.212881619600016</v>
      </c>
      <c r="E7">
        <v>9.1569395927233899E-2</v>
      </c>
      <c r="F7">
        <v>5.81708847088191E-2</v>
      </c>
      <c r="G7">
        <v>0</v>
      </c>
      <c r="H7">
        <v>0.212881619600016</v>
      </c>
    </row>
    <row r="8" spans="1:8" x14ac:dyDescent="0.3">
      <c r="A8">
        <v>0.50871353544818498</v>
      </c>
      <c r="B8">
        <v>0.336144684725107</v>
      </c>
      <c r="C8">
        <v>0</v>
      </c>
      <c r="D8">
        <v>0.21263562753183299</v>
      </c>
      <c r="E8">
        <v>7.5349638287264403E-2</v>
      </c>
      <c r="F8">
        <v>3.8770069143955498E-2</v>
      </c>
      <c r="G8">
        <v>0</v>
      </c>
      <c r="H8">
        <v>0.21263562753183299</v>
      </c>
    </row>
    <row r="9" spans="1:8" x14ac:dyDescent="0.3">
      <c r="A9">
        <v>0.479343516642732</v>
      </c>
      <c r="B9">
        <v>0.32063040229870499</v>
      </c>
      <c r="C9">
        <v>1.8326227789453999E-2</v>
      </c>
      <c r="D9">
        <v>0.21148258722574201</v>
      </c>
      <c r="E9">
        <v>8.0467587547413899E-2</v>
      </c>
      <c r="F9">
        <v>3.56832074728205E-2</v>
      </c>
      <c r="G9">
        <v>0</v>
      </c>
      <c r="H9">
        <v>0.21148258722574201</v>
      </c>
    </row>
    <row r="10" spans="1:8" x14ac:dyDescent="0.3">
      <c r="A10">
        <v>0.43817819042066802</v>
      </c>
      <c r="B10">
        <v>0.29591631611414299</v>
      </c>
      <c r="C10">
        <v>0.165254024585203</v>
      </c>
      <c r="D10">
        <v>0.21047588543829199</v>
      </c>
      <c r="E10">
        <v>9.7173601488578204E-2</v>
      </c>
      <c r="F10">
        <v>4.6943459042353503E-2</v>
      </c>
      <c r="G10">
        <v>0.152505355436521</v>
      </c>
      <c r="H10">
        <v>0.21047588543829199</v>
      </c>
    </row>
    <row r="11" spans="1:8" x14ac:dyDescent="0.3">
      <c r="A11">
        <v>0.399248487154232</v>
      </c>
      <c r="B11">
        <v>0.29940594611669502</v>
      </c>
      <c r="C11">
        <v>0.33834425220505498</v>
      </c>
      <c r="D11">
        <v>0.20987098850696301</v>
      </c>
      <c r="E11">
        <v>9.1323000815948893E-2</v>
      </c>
      <c r="F11">
        <v>3.9732419527831998E-2</v>
      </c>
      <c r="G11">
        <v>0.34498572543247102</v>
      </c>
      <c r="H11">
        <v>0.20987098850696301</v>
      </c>
    </row>
    <row r="12" spans="1:8" x14ac:dyDescent="0.3">
      <c r="A12">
        <v>0.38138288267725901</v>
      </c>
      <c r="B12">
        <v>0.32789273532548902</v>
      </c>
      <c r="C12">
        <v>0.46434767934274801</v>
      </c>
      <c r="D12">
        <v>0.20951981166634501</v>
      </c>
      <c r="E12">
        <v>0.10168822774177499</v>
      </c>
      <c r="F12">
        <v>3.6434139064901401E-2</v>
      </c>
      <c r="G12">
        <v>0.48458448533565701</v>
      </c>
      <c r="H12">
        <v>0.20951981166634501</v>
      </c>
    </row>
    <row r="13" spans="1:8" x14ac:dyDescent="0.3">
      <c r="A13">
        <v>0.36776787826650398</v>
      </c>
      <c r="B13">
        <v>0.33658511938996</v>
      </c>
      <c r="C13">
        <v>0.52431243227756297</v>
      </c>
      <c r="D13">
        <v>0.20924108506667499</v>
      </c>
      <c r="E13">
        <v>8.3697144500483003E-2</v>
      </c>
      <c r="F13">
        <v>2.7614878743910599E-2</v>
      </c>
      <c r="G13">
        <v>0.58956999275663302</v>
      </c>
      <c r="H13">
        <v>0.20924108506667499</v>
      </c>
    </row>
    <row r="14" spans="1:8" x14ac:dyDescent="0.3">
      <c r="A14">
        <v>0.33821052761144899</v>
      </c>
      <c r="B14">
        <v>0.29116863868923798</v>
      </c>
      <c r="C14">
        <v>0.54835151099691404</v>
      </c>
      <c r="D14">
        <v>0.209022555337984</v>
      </c>
      <c r="E14">
        <v>5.9658490877456102E-2</v>
      </c>
      <c r="F14">
        <v>1.9424477571419799E-2</v>
      </c>
      <c r="G14">
        <v>0.62946199178045903</v>
      </c>
      <c r="H14">
        <v>0.209022555337984</v>
      </c>
    </row>
    <row r="15" spans="1:8" x14ac:dyDescent="0.3">
      <c r="A15">
        <v>0.32561109378952102</v>
      </c>
      <c r="B15">
        <v>0.26291441396203402</v>
      </c>
      <c r="C15">
        <v>0.49729685750192598</v>
      </c>
      <c r="D15">
        <v>0.20873763065253101</v>
      </c>
      <c r="E15">
        <v>4.2719951047775401E-2</v>
      </c>
      <c r="F15">
        <v>1.4086904985732901E-2</v>
      </c>
      <c r="G15">
        <v>0.61374063535939605</v>
      </c>
      <c r="H15">
        <v>0.20873763065253101</v>
      </c>
    </row>
    <row r="16" spans="1:8" x14ac:dyDescent="0.3">
      <c r="A16">
        <v>0.31405725447327298</v>
      </c>
      <c r="B16">
        <v>0.22273992764411699</v>
      </c>
      <c r="C16">
        <v>0.39906421139051201</v>
      </c>
      <c r="D16">
        <v>0.208306509093378</v>
      </c>
      <c r="E16">
        <v>2.20865501288218E-2</v>
      </c>
      <c r="F16">
        <v>0</v>
      </c>
      <c r="G16">
        <v>0.51646891355014402</v>
      </c>
      <c r="H16">
        <v>0.208306509093378</v>
      </c>
    </row>
    <row r="17" spans="1:8" x14ac:dyDescent="0.3">
      <c r="A17">
        <v>0.307504655090445</v>
      </c>
      <c r="B17">
        <v>0.17965775239950699</v>
      </c>
      <c r="C17">
        <v>0.24262319849872799</v>
      </c>
      <c r="D17">
        <v>0.20778586463877599</v>
      </c>
      <c r="E17">
        <v>0</v>
      </c>
      <c r="F17">
        <v>0</v>
      </c>
      <c r="G17">
        <v>0.361708442550775</v>
      </c>
      <c r="H17">
        <v>0.20778586463877599</v>
      </c>
    </row>
    <row r="18" spans="1:8" x14ac:dyDescent="0.3">
      <c r="A18">
        <v>0.31148016603809903</v>
      </c>
      <c r="B18">
        <v>0.16892660919043301</v>
      </c>
      <c r="C18">
        <v>6.3518511167673999E-2</v>
      </c>
      <c r="D18">
        <v>0.20726438287209201</v>
      </c>
      <c r="E18">
        <v>1.3290063546856599E-2</v>
      </c>
      <c r="F18">
        <v>0</v>
      </c>
      <c r="G18">
        <v>0.15608530715044799</v>
      </c>
      <c r="H18">
        <v>0.20726438287209201</v>
      </c>
    </row>
    <row r="19" spans="1:8" x14ac:dyDescent="0.3">
      <c r="A19">
        <v>0.29722259597449002</v>
      </c>
      <c r="B19">
        <v>0.158117422158738</v>
      </c>
      <c r="C19">
        <v>0</v>
      </c>
      <c r="D19">
        <v>0.206789057139697</v>
      </c>
      <c r="E19">
        <v>2.03225716140478E-2</v>
      </c>
      <c r="F19">
        <v>0</v>
      </c>
      <c r="G19">
        <v>0</v>
      </c>
      <c r="H19">
        <v>0.206789057139697</v>
      </c>
    </row>
    <row r="20" spans="1:8" x14ac:dyDescent="0.3">
      <c r="A20">
        <v>0.265919077569711</v>
      </c>
      <c r="B20">
        <v>0.14227848664701401</v>
      </c>
      <c r="C20">
        <v>0</v>
      </c>
      <c r="D20">
        <v>0.20636331561704699</v>
      </c>
      <c r="E20">
        <v>2.5155167834031999E-2</v>
      </c>
      <c r="F20">
        <v>0</v>
      </c>
      <c r="G20">
        <v>0</v>
      </c>
      <c r="H20">
        <v>0.20636331561704699</v>
      </c>
    </row>
    <row r="21" spans="1:8" x14ac:dyDescent="0.3">
      <c r="A21">
        <v>0.227731622277591</v>
      </c>
      <c r="B21">
        <v>0.130581716637691</v>
      </c>
      <c r="C21">
        <v>0</v>
      </c>
      <c r="D21">
        <v>0.20597571328464201</v>
      </c>
      <c r="E21">
        <v>4.3254381464616999E-2</v>
      </c>
      <c r="F21">
        <v>1.9173481686129E-2</v>
      </c>
      <c r="G21">
        <v>0</v>
      </c>
      <c r="H21">
        <v>0.20597571328464201</v>
      </c>
    </row>
    <row r="22" spans="1:8" x14ac:dyDescent="0.3">
      <c r="A22">
        <v>0.186347200205356</v>
      </c>
      <c r="B22">
        <v>0.118525482783787</v>
      </c>
      <c r="C22">
        <v>0</v>
      </c>
      <c r="D22">
        <v>0.20562423353727499</v>
      </c>
      <c r="E22">
        <v>7.7880685160577001E-2</v>
      </c>
      <c r="F22">
        <v>4.1081775560317398E-2</v>
      </c>
      <c r="G22">
        <v>0</v>
      </c>
      <c r="H22">
        <v>0.20562423353727499</v>
      </c>
    </row>
    <row r="23" spans="1:8" x14ac:dyDescent="0.3">
      <c r="A23">
        <v>0.160458164142839</v>
      </c>
      <c r="B23">
        <v>0.107152131233334</v>
      </c>
      <c r="C23">
        <v>0</v>
      </c>
      <c r="D23">
        <v>0.205301255557372</v>
      </c>
      <c r="E23">
        <v>0.14926479273651599</v>
      </c>
      <c r="F23">
        <v>7.9255882638057801E-2</v>
      </c>
      <c r="G23">
        <v>0</v>
      </c>
      <c r="H23">
        <v>0.205301255557372</v>
      </c>
    </row>
    <row r="24" spans="1:8" x14ac:dyDescent="0.3">
      <c r="A24">
        <v>0.152058978543506</v>
      </c>
      <c r="B24">
        <v>0.10013797097605801</v>
      </c>
      <c r="C24">
        <v>0</v>
      </c>
      <c r="D24">
        <v>0.20500224622346999</v>
      </c>
      <c r="E24">
        <v>0.16577842643802801</v>
      </c>
      <c r="F24">
        <v>8.4669002225317494E-2</v>
      </c>
      <c r="G24">
        <v>0</v>
      </c>
      <c r="H24">
        <v>0.20500224622346999</v>
      </c>
    </row>
    <row r="25" spans="1:8" x14ac:dyDescent="0.3">
      <c r="A25">
        <v>0.14248178494604499</v>
      </c>
      <c r="B25">
        <v>9.7847131798609405E-2</v>
      </c>
      <c r="C25">
        <v>0</v>
      </c>
      <c r="D25">
        <v>0.20473319552597399</v>
      </c>
      <c r="E25">
        <v>0.26034084931644602</v>
      </c>
      <c r="F25">
        <v>0.12928995817103101</v>
      </c>
      <c r="G25">
        <v>0</v>
      </c>
      <c r="H25">
        <v>0.20473319552597399</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25"/>
  <sheetViews>
    <sheetView workbookViewId="0">
      <selection activeCell="O31" sqref="O31"/>
    </sheetView>
  </sheetViews>
  <sheetFormatPr defaultRowHeight="14.4" x14ac:dyDescent="0.3"/>
  <sheetData>
    <row r="1" spans="1:2" x14ac:dyDescent="0.3">
      <c r="A1" t="s">
        <v>148</v>
      </c>
      <c r="B1" t="s">
        <v>149</v>
      </c>
    </row>
    <row r="2" spans="1:2" x14ac:dyDescent="0.3">
      <c r="A2">
        <v>873.01644267186896</v>
      </c>
      <c r="B2">
        <v>27.920718743195899</v>
      </c>
    </row>
    <row r="3" spans="1:2" x14ac:dyDescent="0.3">
      <c r="A3">
        <v>866.27914479927301</v>
      </c>
      <c r="B3">
        <v>27.705247201315</v>
      </c>
    </row>
    <row r="4" spans="1:2" x14ac:dyDescent="0.3">
      <c r="A4">
        <v>867.36483661250304</v>
      </c>
      <c r="B4">
        <v>27.7399696810729</v>
      </c>
    </row>
    <row r="5" spans="1:2" x14ac:dyDescent="0.3">
      <c r="A5">
        <v>865.807400571524</v>
      </c>
      <c r="B5">
        <v>27.690159927745</v>
      </c>
    </row>
    <row r="6" spans="1:2" x14ac:dyDescent="0.3">
      <c r="A6">
        <v>866.55033365103395</v>
      </c>
      <c r="B6">
        <v>27.713920334243799</v>
      </c>
    </row>
    <row r="7" spans="1:2" x14ac:dyDescent="0.3">
      <c r="A7">
        <v>865.32120735014701</v>
      </c>
      <c r="B7">
        <v>27.6746105480021</v>
      </c>
    </row>
    <row r="8" spans="1:2" x14ac:dyDescent="0.3">
      <c r="A8">
        <v>864.32129879139495</v>
      </c>
      <c r="B8">
        <v>27.6426315791383</v>
      </c>
    </row>
    <row r="9" spans="1:2" x14ac:dyDescent="0.3">
      <c r="A9">
        <v>859.63442055519704</v>
      </c>
      <c r="B9">
        <v>27.492736339346401</v>
      </c>
    </row>
    <row r="10" spans="1:2" x14ac:dyDescent="0.3">
      <c r="A10">
        <v>855.54237912957205</v>
      </c>
      <c r="B10">
        <v>27.361865106978001</v>
      </c>
    </row>
    <row r="11" spans="1:2" x14ac:dyDescent="0.3">
      <c r="A11">
        <v>853.08359408310298</v>
      </c>
      <c r="B11">
        <v>27.2832285059051</v>
      </c>
    </row>
    <row r="12" spans="1:2" x14ac:dyDescent="0.3">
      <c r="A12">
        <v>851.65613046136104</v>
      </c>
      <c r="B12">
        <v>27.237575516624901</v>
      </c>
    </row>
    <row r="13" spans="1:2" x14ac:dyDescent="0.3">
      <c r="A13">
        <v>850.52316257902305</v>
      </c>
      <c r="B13">
        <v>27.201341058667801</v>
      </c>
    </row>
    <row r="14" spans="1:2" x14ac:dyDescent="0.3">
      <c r="A14">
        <v>849.63488293783701</v>
      </c>
      <c r="B14">
        <v>27.1729321939379</v>
      </c>
    </row>
    <row r="15" spans="1:2" x14ac:dyDescent="0.3">
      <c r="A15">
        <v>848.47672107640801</v>
      </c>
      <c r="B15">
        <v>27.135891984829001</v>
      </c>
    </row>
    <row r="16" spans="1:2" x14ac:dyDescent="0.3">
      <c r="A16">
        <v>846.72429816276599</v>
      </c>
      <c r="B16">
        <v>27.0798461821392</v>
      </c>
    </row>
    <row r="17" spans="1:2" x14ac:dyDescent="0.3">
      <c r="A17">
        <v>844.60798258369698</v>
      </c>
      <c r="B17">
        <v>27.0121624030409</v>
      </c>
    </row>
    <row r="18" spans="1:2" x14ac:dyDescent="0.3">
      <c r="A18">
        <v>842.48826349848298</v>
      </c>
      <c r="B18">
        <v>26.944369773371999</v>
      </c>
    </row>
    <row r="19" spans="1:2" x14ac:dyDescent="0.3">
      <c r="A19">
        <v>840.55615946143996</v>
      </c>
      <c r="B19">
        <v>26.882577428160602</v>
      </c>
    </row>
    <row r="20" spans="1:2" x14ac:dyDescent="0.3">
      <c r="A20">
        <v>838.82560532017601</v>
      </c>
      <c r="B20">
        <v>26.8272310302162</v>
      </c>
    </row>
    <row r="21" spans="1:2" x14ac:dyDescent="0.3">
      <c r="A21">
        <v>837.25007935941596</v>
      </c>
      <c r="B21">
        <v>26.776842727003501</v>
      </c>
    </row>
    <row r="22" spans="1:2" x14ac:dyDescent="0.3">
      <c r="A22">
        <v>835.82138448231694</v>
      </c>
      <c r="B22">
        <v>26.731150359845799</v>
      </c>
    </row>
    <row r="23" spans="1:2" x14ac:dyDescent="0.3">
      <c r="A23">
        <v>834.50854358960805</v>
      </c>
      <c r="B23">
        <v>26.689163222458401</v>
      </c>
    </row>
    <row r="24" spans="1:2" x14ac:dyDescent="0.3">
      <c r="A24">
        <v>833.29313044916103</v>
      </c>
      <c r="B24">
        <v>26.6502920090511</v>
      </c>
    </row>
    <row r="25" spans="1:2" x14ac:dyDescent="0.3">
      <c r="A25">
        <v>832.199493173983</v>
      </c>
      <c r="B25">
        <v>26.615315418376699</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25"/>
  <sheetViews>
    <sheetView workbookViewId="0">
      <selection sqref="A1:A1048576"/>
    </sheetView>
  </sheetViews>
  <sheetFormatPr defaultRowHeight="14.4" x14ac:dyDescent="0.3"/>
  <sheetData>
    <row r="1" spans="1:4" x14ac:dyDescent="0.3">
      <c r="A1" t="s">
        <v>146</v>
      </c>
      <c r="B1" t="s">
        <v>147</v>
      </c>
      <c r="C1" t="s">
        <v>148</v>
      </c>
      <c r="D1" t="s">
        <v>149</v>
      </c>
    </row>
    <row r="2" spans="1:4" x14ac:dyDescent="0.3">
      <c r="A2">
        <v>0</v>
      </c>
      <c r="B2">
        <v>0</v>
      </c>
      <c r="C2">
        <v>513.75029296732498</v>
      </c>
      <c r="D2">
        <v>15.0490505022962</v>
      </c>
    </row>
    <row r="3" spans="1:4" x14ac:dyDescent="0.3">
      <c r="A3">
        <v>0</v>
      </c>
      <c r="B3">
        <v>0</v>
      </c>
      <c r="C3">
        <v>490.93720645867</v>
      </c>
      <c r="D3">
        <v>15.450980979214</v>
      </c>
    </row>
    <row r="4" spans="1:4" x14ac:dyDescent="0.3">
      <c r="A4">
        <v>0</v>
      </c>
      <c r="B4">
        <v>0</v>
      </c>
      <c r="C4">
        <v>480.82873722237099</v>
      </c>
      <c r="D4">
        <v>16.5839121716207</v>
      </c>
    </row>
    <row r="5" spans="1:4" x14ac:dyDescent="0.3">
      <c r="A5">
        <v>0</v>
      </c>
      <c r="B5">
        <v>0</v>
      </c>
      <c r="C5">
        <v>458.840215714485</v>
      </c>
      <c r="D5">
        <v>15.3109088617182</v>
      </c>
    </row>
    <row r="6" spans="1:4" x14ac:dyDescent="0.3">
      <c r="A6">
        <v>0</v>
      </c>
      <c r="B6">
        <v>0</v>
      </c>
      <c r="C6">
        <v>441.13036216513501</v>
      </c>
      <c r="D6">
        <v>13.559756156200001</v>
      </c>
    </row>
    <row r="7" spans="1:4" x14ac:dyDescent="0.3">
      <c r="A7">
        <v>0</v>
      </c>
      <c r="B7">
        <v>0</v>
      </c>
      <c r="C7">
        <v>426.117282614369</v>
      </c>
      <c r="D7">
        <v>12.2237137151408</v>
      </c>
    </row>
    <row r="8" spans="1:4" x14ac:dyDescent="0.3">
      <c r="A8">
        <v>0</v>
      </c>
      <c r="B8">
        <v>0</v>
      </c>
      <c r="C8">
        <v>414.051231765436</v>
      </c>
      <c r="D8">
        <v>11.9038035703605</v>
      </c>
    </row>
    <row r="9" spans="1:4" x14ac:dyDescent="0.3">
      <c r="A9">
        <v>0</v>
      </c>
      <c r="B9">
        <v>0</v>
      </c>
      <c r="C9">
        <v>407.80661296503303</v>
      </c>
      <c r="D9">
        <v>12.3484433598751</v>
      </c>
    </row>
    <row r="10" spans="1:4" x14ac:dyDescent="0.3">
      <c r="A10">
        <v>0</v>
      </c>
      <c r="B10">
        <v>0</v>
      </c>
      <c r="C10">
        <v>409.84745850851198</v>
      </c>
      <c r="D10">
        <v>13.0342202222526</v>
      </c>
    </row>
    <row r="11" spans="1:4" x14ac:dyDescent="0.3">
      <c r="A11">
        <v>0</v>
      </c>
      <c r="B11">
        <v>0</v>
      </c>
      <c r="C11">
        <v>417.82685484944801</v>
      </c>
      <c r="D11">
        <v>13.707219873620399</v>
      </c>
    </row>
    <row r="12" spans="1:4" x14ac:dyDescent="0.3">
      <c r="A12">
        <v>0</v>
      </c>
      <c r="B12">
        <v>0</v>
      </c>
      <c r="C12">
        <v>428.02043057746198</v>
      </c>
      <c r="D12">
        <v>14.4849336677045</v>
      </c>
    </row>
    <row r="13" spans="1:4" x14ac:dyDescent="0.3">
      <c r="A13">
        <v>0</v>
      </c>
      <c r="B13">
        <v>0</v>
      </c>
      <c r="C13">
        <v>437.55768919900498</v>
      </c>
      <c r="D13">
        <v>14.9780028062806</v>
      </c>
    </row>
    <row r="14" spans="1:4" x14ac:dyDescent="0.3">
      <c r="A14">
        <v>0</v>
      </c>
      <c r="B14">
        <v>0</v>
      </c>
      <c r="C14">
        <v>444.734793904475</v>
      </c>
      <c r="D14">
        <v>15.133228377254399</v>
      </c>
    </row>
    <row r="15" spans="1:4" x14ac:dyDescent="0.3">
      <c r="A15">
        <v>0</v>
      </c>
      <c r="B15">
        <v>0</v>
      </c>
      <c r="C15">
        <v>448.794012791059</v>
      </c>
      <c r="D15">
        <v>15.086485774181901</v>
      </c>
    </row>
    <row r="16" spans="1:4" x14ac:dyDescent="0.3">
      <c r="A16">
        <v>0</v>
      </c>
      <c r="B16">
        <v>0</v>
      </c>
      <c r="C16">
        <v>449.73319388420998</v>
      </c>
      <c r="D16">
        <v>14.916482493434801</v>
      </c>
    </row>
    <row r="17" spans="1:4" x14ac:dyDescent="0.3">
      <c r="A17">
        <v>0</v>
      </c>
      <c r="B17">
        <v>0</v>
      </c>
      <c r="C17">
        <v>448.24399447475298</v>
      </c>
      <c r="D17">
        <v>14.6812529609964</v>
      </c>
    </row>
    <row r="18" spans="1:4" x14ac:dyDescent="0.3">
      <c r="A18">
        <v>0</v>
      </c>
      <c r="B18">
        <v>0</v>
      </c>
      <c r="C18">
        <v>445.20257113536798</v>
      </c>
      <c r="D18">
        <v>14.4274306475639</v>
      </c>
    </row>
    <row r="19" spans="1:4" x14ac:dyDescent="0.3">
      <c r="A19">
        <v>0</v>
      </c>
      <c r="B19">
        <v>0</v>
      </c>
      <c r="C19">
        <v>441.35565196538801</v>
      </c>
      <c r="D19">
        <v>14.1876681291388</v>
      </c>
    </row>
    <row r="20" spans="1:4" x14ac:dyDescent="0.3">
      <c r="A20">
        <v>0</v>
      </c>
      <c r="B20">
        <v>0</v>
      </c>
      <c r="C20">
        <v>437.065117844555</v>
      </c>
      <c r="D20">
        <v>13.970553975633999</v>
      </c>
    </row>
    <row r="21" spans="1:4" x14ac:dyDescent="0.3">
      <c r="A21">
        <v>0</v>
      </c>
      <c r="B21">
        <v>0</v>
      </c>
      <c r="C21">
        <v>432.58788595301399</v>
      </c>
      <c r="D21">
        <v>13.7668546030977</v>
      </c>
    </row>
    <row r="22" spans="1:4" x14ac:dyDescent="0.3">
      <c r="A22">
        <v>0</v>
      </c>
      <c r="B22">
        <v>0</v>
      </c>
      <c r="C22">
        <v>428.17833617669999</v>
      </c>
      <c r="D22">
        <v>13.574352038100599</v>
      </c>
    </row>
    <row r="23" spans="1:4" x14ac:dyDescent="0.3">
      <c r="A23">
        <v>0</v>
      </c>
      <c r="B23">
        <v>0</v>
      </c>
      <c r="C23">
        <v>423.97889587228798</v>
      </c>
      <c r="D23">
        <v>13.403309543831</v>
      </c>
    </row>
    <row r="24" spans="1:4" x14ac:dyDescent="0.3">
      <c r="A24">
        <v>0</v>
      </c>
      <c r="B24">
        <v>0</v>
      </c>
      <c r="C24">
        <v>420.27804422957399</v>
      </c>
      <c r="D24">
        <v>0</v>
      </c>
    </row>
    <row r="25" spans="1:4" x14ac:dyDescent="0.3">
      <c r="A25">
        <v>0</v>
      </c>
      <c r="B25">
        <v>0</v>
      </c>
      <c r="C25">
        <v>0</v>
      </c>
      <c r="D25">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12</vt:i4>
      </vt:variant>
    </vt:vector>
  </HeadingPairs>
  <TitlesOfParts>
    <vt:vector size="12" baseType="lpstr">
      <vt:lpstr>Carrier</vt:lpstr>
      <vt:lpstr>Bus</vt:lpstr>
      <vt:lpstr>Load</vt:lpstr>
      <vt:lpstr>Line</vt:lpstr>
      <vt:lpstr>Generator</vt:lpstr>
      <vt:lpstr>Link</vt:lpstr>
      <vt:lpstr>StorageUnit</vt:lpstr>
      <vt:lpstr>Store</vt:lpstr>
      <vt:lpstr>loads_t_p_set</vt:lpstr>
      <vt:lpstr>generators_t_p_max_pu</vt:lpstr>
      <vt:lpstr>storage_units_t_inflow</vt:lpstr>
      <vt:lpstr>storage_units_t_spill</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aless</dc:creator>
  <cp:lastModifiedBy>aless</cp:lastModifiedBy>
  <dcterms:created xsi:type="dcterms:W3CDTF">2025-08-14T07:11:29Z</dcterms:created>
  <dcterms:modified xsi:type="dcterms:W3CDTF">2026-03-27T18:19:32Z</dcterms:modified>
</cp:coreProperties>
</file>