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0" yWindow="0" windowWidth="23040" windowHeight="7824" firstSheet="1" activeTab="7"/>
  </bookViews>
  <sheets>
    <sheet name="Carrier" sheetId="1" r:id="rId1"/>
    <sheet name="Bus" sheetId="2" r:id="rId2"/>
    <sheet name="Load" sheetId="3" r:id="rId3"/>
    <sheet name="Line" sheetId="4" r:id="rId4"/>
    <sheet name="Link" sheetId="6" r:id="rId5"/>
    <sheet name="Generator" sheetId="5" r:id="rId6"/>
    <sheet name="StorageUnit" sheetId="7" r:id="rId7"/>
    <sheet name="Store" sheetId="8" r:id="rId8"/>
    <sheet name="loads_t_p_set" sheetId="9" r:id="rId9"/>
    <sheet name="snapshots" sheetId="11" r:id="rId10"/>
  </sheets>
  <definedNames>
    <definedName name="_xlnm._FilterDatabase" localSheetId="4" hidden="1">Link!$A$1:$BB$5</definedName>
    <definedName name="_xlnm._FilterDatabase" localSheetId="7" hidden="1">Store!$A$1:$AD$1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5" l="1"/>
</calcChain>
</file>

<file path=xl/sharedStrings.xml><?xml version="1.0" encoding="utf-8"?>
<sst xmlns="http://schemas.openxmlformats.org/spreadsheetml/2006/main" count="370" uniqueCount="183">
  <si>
    <t>co2_emissions</t>
  </si>
  <si>
    <t>color</t>
  </si>
  <si>
    <t>nice_name</t>
  </si>
  <si>
    <t>max_growth</t>
  </si>
  <si>
    <t>max_relative_growth</t>
  </si>
  <si>
    <t>AC</t>
  </si>
  <si>
    <t>#70af1d</t>
  </si>
  <si>
    <t>inf</t>
  </si>
  <si>
    <t>DC</t>
  </si>
  <si>
    <t>#8a1caf</t>
  </si>
  <si>
    <t>CCGT</t>
  </si>
  <si>
    <t>#a85522</t>
  </si>
  <si>
    <t>Combined-Cycle Gas</t>
  </si>
  <si>
    <t>hydro</t>
  </si>
  <si>
    <t>#298c81</t>
  </si>
  <si>
    <t>Reservoir &amp; Dam</t>
  </si>
  <si>
    <t>solar</t>
  </si>
  <si>
    <t>#f9d002</t>
  </si>
  <si>
    <t>Solar</t>
  </si>
  <si>
    <t>onwind</t>
  </si>
  <si>
    <t>#235ebc</t>
  </si>
  <si>
    <t>Onshore Wind</t>
  </si>
  <si>
    <t>offwind-ac</t>
  </si>
  <si>
    <t>#6895dd</t>
  </si>
  <si>
    <t>Offshore Wind (AC)</t>
  </si>
  <si>
    <t>PHS</t>
  </si>
  <si>
    <t>#51dbcc</t>
  </si>
  <si>
    <t>Pumped Hydro Storage</t>
  </si>
  <si>
    <t>ror</t>
  </si>
  <si>
    <t>#3dbfb0</t>
  </si>
  <si>
    <t>Run of River</t>
  </si>
  <si>
    <t>battery</t>
  </si>
  <si>
    <t>#ace37f</t>
  </si>
  <si>
    <t>Battery Storage</t>
  </si>
  <si>
    <t>H2</t>
  </si>
  <si>
    <t>#bf13a0</t>
  </si>
  <si>
    <t>Hydrogen Storage</t>
  </si>
  <si>
    <t>battery charger</t>
  </si>
  <si>
    <t>#88a75b</t>
  </si>
  <si>
    <t>battery discharger</t>
  </si>
  <si>
    <t>#5d4e29</t>
  </si>
  <si>
    <t>#ff29d9</t>
  </si>
  <si>
    <t>v_nom</t>
  </si>
  <si>
    <t>type</t>
  </si>
  <si>
    <t>x</t>
  </si>
  <si>
    <t>y</t>
  </si>
  <si>
    <t>carrier</t>
  </si>
  <si>
    <t>unit</t>
  </si>
  <si>
    <t>location</t>
  </si>
  <si>
    <t>v_mag_pu_set</t>
  </si>
  <si>
    <t>v_mag_pu_min</t>
  </si>
  <si>
    <t>v_mag_pu_max</t>
  </si>
  <si>
    <t>control</t>
  </si>
  <si>
    <t>generator</t>
  </si>
  <si>
    <t>sub_network</t>
  </si>
  <si>
    <t>substation_off</t>
  </si>
  <si>
    <t>country</t>
  </si>
  <si>
    <t>substation_lv</t>
  </si>
  <si>
    <t>IT0 0</t>
  </si>
  <si>
    <t>IT</t>
  </si>
  <si>
    <t>PQ</t>
  </si>
  <si>
    <t>bus</t>
  </si>
  <si>
    <t>p_set</t>
  </si>
  <si>
    <t>q_set</t>
  </si>
  <si>
    <t>sign</t>
  </si>
  <si>
    <t>active</t>
  </si>
  <si>
    <t>True</t>
  </si>
  <si>
    <t>p_nom</t>
  </si>
  <si>
    <t>p_nom_mod</t>
  </si>
  <si>
    <t>p_nom_extendable</t>
  </si>
  <si>
    <t>p_nom_min</t>
  </si>
  <si>
    <t>p_nom_max</t>
  </si>
  <si>
    <t>p_min_pu</t>
  </si>
  <si>
    <t>p_max_pu</t>
  </si>
  <si>
    <t>e_sum_min</t>
  </si>
  <si>
    <t>e_sum_max</t>
  </si>
  <si>
    <t>marginal_cost</t>
  </si>
  <si>
    <t>marginal_cost_quadratic</t>
  </si>
  <si>
    <t>build_year</t>
  </si>
  <si>
    <t>lifetime</t>
  </si>
  <si>
    <t>capital_cost</t>
  </si>
  <si>
    <t>efficiency</t>
  </si>
  <si>
    <t>committable</t>
  </si>
  <si>
    <t>start_up_cost</t>
  </si>
  <si>
    <t>shut_down_cost</t>
  </si>
  <si>
    <t>stand_by_cost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</si>
  <si>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</si>
  <si>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</si>
  <si>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</si>
  <si>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</si>
  <si>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</si>
  <si>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</si>
  <si>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</si>
  <si>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</si>
  <si>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weight</t>
  </si>
  <si>
    <t>p_nom_opt</t>
  </si>
  <si>
    <t>False</t>
  </si>
  <si>
    <t>slack</t>
  </si>
  <si>
    <t>bus0</t>
  </si>
  <si>
    <t>bus1</t>
  </si>
  <si>
    <t>length</t>
  </si>
  <si>
    <t>terrain_factor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</si>
  <si>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</si>
  <si>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</si>
  <si>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</si>
  <si>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</si>
  <si>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</si>
  <si>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</si>
  <si>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</si>
  <si>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</si>
  <si>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name</t>
  </si>
  <si>
    <t>none</t>
  </si>
  <si>
    <t>co2</t>
  </si>
  <si>
    <t>#f29dae</t>
  </si>
  <si>
    <t>co2 stored</t>
  </si>
  <si>
    <t>#f2385a</t>
  </si>
  <si>
    <t>co2 sequestered</t>
  </si>
  <si>
    <t>#f2682f</t>
  </si>
  <si>
    <t>gas</t>
  </si>
  <si>
    <t>#e05b09</t>
  </si>
  <si>
    <t>methanol</t>
  </si>
  <si>
    <t>#FF7B00</t>
  </si>
  <si>
    <t>Sabatier</t>
  </si>
  <si>
    <t>#9850ad</t>
  </si>
  <si>
    <t>CO2 pipeline</t>
  </si>
  <si>
    <t>#f5627f</t>
  </si>
  <si>
    <t>H2 Electrolysis</t>
  </si>
  <si>
    <t>OCGT</t>
  </si>
  <si>
    <t>#e0986c</t>
  </si>
  <si>
    <t>Open-Cycle Gas</t>
  </si>
  <si>
    <t>Slack Unit</t>
  </si>
  <si>
    <t>EU</t>
  </si>
  <si>
    <t>co2 atmosphere</t>
  </si>
  <si>
    <t>t_co2</t>
  </si>
  <si>
    <t>electricity</t>
  </si>
  <si>
    <t>p_nom_set</t>
  </si>
  <si>
    <t>bus2</t>
  </si>
  <si>
    <t>efficiency2</t>
  </si>
  <si>
    <t>efficiency3</t>
  </si>
  <si>
    <t>reversed</t>
  </si>
  <si>
    <t>length_original</t>
  </si>
  <si>
    <t>EU gas</t>
  </si>
  <si>
    <t>H2 Store</t>
  </si>
  <si>
    <t>MWh_LHV</t>
  </si>
  <si>
    <t>#110d63</t>
  </si>
  <si>
    <t>#110d64</t>
  </si>
  <si>
    <t>snapshot</t>
  </si>
  <si>
    <t>objective</t>
  </si>
  <si>
    <t>stores</t>
  </si>
  <si>
    <t>generators</t>
  </si>
  <si>
    <t>bus3</t>
  </si>
  <si>
    <t>e_nom</t>
  </si>
  <si>
    <t>e_nom_mod</t>
  </si>
  <si>
    <t>e_nom_extendable</t>
  </si>
  <si>
    <t>e_nom_min</t>
  </si>
  <si>
    <t>e_nom_max</t>
  </si>
  <si>
    <t>e_nom_set</t>
  </si>
  <si>
    <t>e_min_pu</t>
  </si>
  <si>
    <t>e_max_pu</t>
  </si>
  <si>
    <t>e_initial</t>
  </si>
  <si>
    <t>e_initial_per_period</t>
  </si>
  <si>
    <t>e_cyclic</t>
  </si>
  <si>
    <t>e_cyclic_per_period</t>
  </si>
  <si>
    <t>e_set</t>
  </si>
  <si>
    <t>marginal_cost_storage</t>
  </si>
  <si>
    <t>standing_loss</t>
  </si>
  <si>
    <t>e_nom_opt</t>
  </si>
  <si>
    <t>IT0 0 H2</t>
  </si>
  <si>
    <t>IT0 0 urban central heat</t>
  </si>
  <si>
    <t>urban central heat</t>
  </si>
  <si>
    <t>MWh_th</t>
  </si>
  <si>
    <t>EU methanol</t>
  </si>
  <si>
    <t>EU shipping methanol</t>
  </si>
  <si>
    <t>shipping methanol</t>
  </si>
  <si>
    <t>bus4</t>
  </si>
  <si>
    <t>efficiency4</t>
  </si>
  <si>
    <t>energy to power ratio</t>
  </si>
  <si>
    <t>IT0 0 SMR CC</t>
  </si>
  <si>
    <t>SMR CC</t>
  </si>
  <si>
    <t>IT0 0 urban central gas boiler</t>
  </si>
  <si>
    <t>urban central gas boiler</t>
  </si>
  <si>
    <t>IT0 0 methanolisation</t>
  </si>
  <si>
    <t>methanolisation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</si>
</sst>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sqref="A1:XFD1048576"/>
    </sheetView>
  </sheetViews>
  <sheetFormatPr defaultRowHeight="14.4" x14ac:dyDescent="0.3"/>
  <sheetData>
    <row r="1" spans="1:6" x14ac:dyDescent="0.3">
      <c r="A1" t="s">
        <v>110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0</v>
      </c>
      <c r="C2" t="s">
        <v>6</v>
      </c>
      <c r="D2" t="s">
        <v>5</v>
      </c>
      <c r="E2" t="s">
        <v>7</v>
      </c>
      <c r="F2">
        <v>0</v>
      </c>
    </row>
    <row r="3" spans="1:6" x14ac:dyDescent="0.3">
      <c r="A3" t="s">
        <v>8</v>
      </c>
      <c r="B3">
        <v>0</v>
      </c>
      <c r="C3" t="s">
        <v>9</v>
      </c>
      <c r="D3" t="s">
        <v>8</v>
      </c>
      <c r="E3" t="s">
        <v>7</v>
      </c>
      <c r="F3">
        <v>0</v>
      </c>
    </row>
    <row r="4" spans="1:6" x14ac:dyDescent="0.3">
      <c r="A4" t="s">
        <v>16</v>
      </c>
      <c r="B4">
        <v>0</v>
      </c>
      <c r="C4" t="s">
        <v>17</v>
      </c>
      <c r="D4" t="s">
        <v>18</v>
      </c>
      <c r="E4" t="s">
        <v>7</v>
      </c>
      <c r="F4">
        <v>0</v>
      </c>
    </row>
    <row r="5" spans="1:6" x14ac:dyDescent="0.3">
      <c r="A5" t="s">
        <v>22</v>
      </c>
      <c r="B5">
        <v>0</v>
      </c>
      <c r="C5" t="s">
        <v>23</v>
      </c>
      <c r="D5" t="s">
        <v>24</v>
      </c>
      <c r="E5" t="s">
        <v>7</v>
      </c>
      <c r="F5">
        <v>0</v>
      </c>
    </row>
    <row r="6" spans="1:6" x14ac:dyDescent="0.3">
      <c r="A6" t="s">
        <v>19</v>
      </c>
      <c r="B6">
        <v>0</v>
      </c>
      <c r="C6" t="s">
        <v>20</v>
      </c>
      <c r="D6" t="s">
        <v>21</v>
      </c>
      <c r="E6" t="s">
        <v>7</v>
      </c>
      <c r="F6">
        <v>0</v>
      </c>
    </row>
    <row r="7" spans="1:6" x14ac:dyDescent="0.3">
      <c r="A7" t="s">
        <v>13</v>
      </c>
      <c r="B7">
        <v>0</v>
      </c>
      <c r="C7" t="s">
        <v>14</v>
      </c>
      <c r="D7" t="s">
        <v>15</v>
      </c>
      <c r="E7" t="s">
        <v>7</v>
      </c>
      <c r="F7">
        <v>0</v>
      </c>
    </row>
    <row r="8" spans="1:6" x14ac:dyDescent="0.3">
      <c r="A8" t="s">
        <v>28</v>
      </c>
      <c r="B8">
        <v>0</v>
      </c>
      <c r="C8" t="s">
        <v>29</v>
      </c>
      <c r="D8" t="s">
        <v>30</v>
      </c>
      <c r="E8" t="s">
        <v>7</v>
      </c>
      <c r="F8">
        <v>0</v>
      </c>
    </row>
    <row r="9" spans="1:6" x14ac:dyDescent="0.3">
      <c r="A9" t="s">
        <v>25</v>
      </c>
      <c r="B9">
        <v>0</v>
      </c>
      <c r="C9" t="s">
        <v>26</v>
      </c>
      <c r="D9" t="s">
        <v>27</v>
      </c>
      <c r="E9" t="s">
        <v>7</v>
      </c>
      <c r="F9">
        <v>0</v>
      </c>
    </row>
    <row r="10" spans="1:6" x14ac:dyDescent="0.3">
      <c r="B10">
        <v>0</v>
      </c>
      <c r="E10" t="s">
        <v>7</v>
      </c>
      <c r="F10">
        <v>0</v>
      </c>
    </row>
    <row r="11" spans="1:6" x14ac:dyDescent="0.3">
      <c r="A11" t="s">
        <v>111</v>
      </c>
      <c r="B11">
        <v>0</v>
      </c>
      <c r="D11" t="s">
        <v>111</v>
      </c>
      <c r="E11" t="s">
        <v>7</v>
      </c>
      <c r="F11">
        <v>0</v>
      </c>
    </row>
    <row r="12" spans="1:6" x14ac:dyDescent="0.3">
      <c r="A12" t="s">
        <v>112</v>
      </c>
      <c r="B12">
        <v>-1</v>
      </c>
      <c r="C12" t="s">
        <v>113</v>
      </c>
      <c r="D12" t="s">
        <v>112</v>
      </c>
      <c r="E12" t="s">
        <v>7</v>
      </c>
      <c r="F12">
        <v>0</v>
      </c>
    </row>
    <row r="13" spans="1:6" x14ac:dyDescent="0.3">
      <c r="A13" t="s">
        <v>114</v>
      </c>
      <c r="B13">
        <v>0</v>
      </c>
      <c r="C13" t="s">
        <v>115</v>
      </c>
      <c r="D13" t="s">
        <v>114</v>
      </c>
      <c r="E13" t="s">
        <v>7</v>
      </c>
      <c r="F13">
        <v>0</v>
      </c>
    </row>
    <row r="14" spans="1:6" x14ac:dyDescent="0.3">
      <c r="A14" t="s">
        <v>116</v>
      </c>
      <c r="B14">
        <v>0</v>
      </c>
      <c r="C14" t="s">
        <v>117</v>
      </c>
      <c r="D14" t="s">
        <v>116</v>
      </c>
      <c r="E14" t="s">
        <v>7</v>
      </c>
      <c r="F14">
        <v>0</v>
      </c>
    </row>
    <row r="15" spans="1:6" x14ac:dyDescent="0.3">
      <c r="A15" t="s">
        <v>118</v>
      </c>
      <c r="B15">
        <v>0</v>
      </c>
      <c r="C15" t="s">
        <v>119</v>
      </c>
      <c r="D15" t="s">
        <v>118</v>
      </c>
      <c r="E15" t="s">
        <v>7</v>
      </c>
      <c r="F15">
        <v>0</v>
      </c>
    </row>
    <row r="16" spans="1:6" x14ac:dyDescent="0.3">
      <c r="A16" t="s">
        <v>34</v>
      </c>
      <c r="B16">
        <v>0</v>
      </c>
      <c r="C16" t="s">
        <v>35</v>
      </c>
      <c r="D16" t="s">
        <v>36</v>
      </c>
      <c r="E16" t="s">
        <v>7</v>
      </c>
      <c r="F16">
        <v>0</v>
      </c>
    </row>
    <row r="17" spans="1:6" x14ac:dyDescent="0.3">
      <c r="A17" t="s">
        <v>31</v>
      </c>
      <c r="B17">
        <v>0</v>
      </c>
      <c r="C17" t="s">
        <v>32</v>
      </c>
      <c r="D17" t="s">
        <v>33</v>
      </c>
      <c r="E17" t="s">
        <v>7</v>
      </c>
      <c r="F17">
        <v>0</v>
      </c>
    </row>
    <row r="18" spans="1:6" x14ac:dyDescent="0.3">
      <c r="A18" t="s">
        <v>120</v>
      </c>
      <c r="B18">
        <v>0</v>
      </c>
      <c r="C18" t="s">
        <v>121</v>
      </c>
      <c r="D18" t="s">
        <v>120</v>
      </c>
      <c r="E18" t="s">
        <v>7</v>
      </c>
      <c r="F18">
        <v>0</v>
      </c>
    </row>
    <row r="19" spans="1:6" x14ac:dyDescent="0.3">
      <c r="A19" t="s">
        <v>10</v>
      </c>
      <c r="B19">
        <v>0</v>
      </c>
      <c r="C19" t="s">
        <v>11</v>
      </c>
      <c r="D19" t="s">
        <v>12</v>
      </c>
      <c r="E19" t="s">
        <v>7</v>
      </c>
      <c r="F19">
        <v>0</v>
      </c>
    </row>
    <row r="20" spans="1:6" x14ac:dyDescent="0.3">
      <c r="A20" t="s">
        <v>122</v>
      </c>
      <c r="B20">
        <v>0</v>
      </c>
      <c r="C20" t="s">
        <v>123</v>
      </c>
      <c r="D20" t="s">
        <v>122</v>
      </c>
      <c r="E20" t="s">
        <v>7</v>
      </c>
      <c r="F20">
        <v>0</v>
      </c>
    </row>
    <row r="21" spans="1:6" x14ac:dyDescent="0.3">
      <c r="A21" t="s">
        <v>124</v>
      </c>
      <c r="B21">
        <v>0</v>
      </c>
      <c r="C21" t="s">
        <v>125</v>
      </c>
      <c r="D21" t="s">
        <v>124</v>
      </c>
      <c r="E21" t="s">
        <v>7</v>
      </c>
      <c r="F21">
        <v>0</v>
      </c>
    </row>
    <row r="22" spans="1:6" x14ac:dyDescent="0.3">
      <c r="A22" t="s">
        <v>126</v>
      </c>
      <c r="B22">
        <v>0</v>
      </c>
      <c r="C22" t="s">
        <v>41</v>
      </c>
      <c r="D22" t="s">
        <v>126</v>
      </c>
      <c r="E22" t="s">
        <v>7</v>
      </c>
      <c r="F22">
        <v>0</v>
      </c>
    </row>
    <row r="23" spans="1:6" x14ac:dyDescent="0.3">
      <c r="A23" t="s">
        <v>39</v>
      </c>
      <c r="B23">
        <v>0</v>
      </c>
      <c r="C23" t="s">
        <v>40</v>
      </c>
      <c r="D23" t="s">
        <v>39</v>
      </c>
      <c r="E23" t="s">
        <v>7</v>
      </c>
      <c r="F23">
        <v>0</v>
      </c>
    </row>
    <row r="24" spans="1:6" x14ac:dyDescent="0.3">
      <c r="A24" t="s">
        <v>127</v>
      </c>
      <c r="B24">
        <v>0</v>
      </c>
      <c r="C24" t="s">
        <v>128</v>
      </c>
      <c r="D24" t="s">
        <v>129</v>
      </c>
      <c r="E24" t="s">
        <v>7</v>
      </c>
      <c r="F24">
        <v>0</v>
      </c>
    </row>
    <row r="25" spans="1:6" x14ac:dyDescent="0.3">
      <c r="A25" t="s">
        <v>37</v>
      </c>
      <c r="B25">
        <v>0</v>
      </c>
      <c r="C25" t="s">
        <v>38</v>
      </c>
      <c r="D25" t="s">
        <v>37</v>
      </c>
      <c r="E25" t="s">
        <v>7</v>
      </c>
      <c r="F25">
        <v>0</v>
      </c>
    </row>
    <row r="26" spans="1:6" x14ac:dyDescent="0.3">
      <c r="A26" t="s">
        <v>142</v>
      </c>
      <c r="B26">
        <v>0</v>
      </c>
      <c r="C26" t="s">
        <v>35</v>
      </c>
      <c r="D26" t="s">
        <v>142</v>
      </c>
      <c r="E26" t="s">
        <v>7</v>
      </c>
      <c r="F26">
        <v>0</v>
      </c>
    </row>
    <row r="27" spans="1:6" x14ac:dyDescent="0.3">
      <c r="A27" t="s">
        <v>134</v>
      </c>
      <c r="B27">
        <v>0</v>
      </c>
      <c r="C27" t="s">
        <v>144</v>
      </c>
      <c r="D27" t="s">
        <v>134</v>
      </c>
      <c r="E27" t="s">
        <v>7</v>
      </c>
      <c r="F27">
        <v>0</v>
      </c>
    </row>
    <row r="28" spans="1:6" x14ac:dyDescent="0.3">
      <c r="A28" t="s">
        <v>97</v>
      </c>
      <c r="B28">
        <v>0</v>
      </c>
      <c r="C28" t="s">
        <v>145</v>
      </c>
      <c r="D28" t="s">
        <v>130</v>
      </c>
      <c r="E28" t="s">
        <v>7</v>
      </c>
      <c r="F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A18" sqref="A18"/>
    </sheetView>
  </sheetViews>
  <sheetFormatPr defaultRowHeight="14.4" x14ac:dyDescent="0.3"/>
  <cols>
    <col min="1" max="1" width="28.6640625" bestFit="1" customWidth="1"/>
  </cols>
  <sheetData>
    <row r="1" spans="1:17" x14ac:dyDescent="0.3">
      <c r="A1" t="s">
        <v>110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56</v>
      </c>
      <c r="P1" t="s">
        <v>57</v>
      </c>
      <c r="Q1" t="s">
        <v>55</v>
      </c>
    </row>
    <row r="2" spans="1:17" x14ac:dyDescent="0.3">
      <c r="A2" t="s">
        <v>132</v>
      </c>
      <c r="B2">
        <v>1</v>
      </c>
      <c r="D2">
        <v>-5.5</v>
      </c>
      <c r="E2">
        <v>46</v>
      </c>
      <c r="F2" t="s">
        <v>112</v>
      </c>
      <c r="G2" t="s">
        <v>133</v>
      </c>
      <c r="H2" t="s">
        <v>131</v>
      </c>
      <c r="I2">
        <v>1</v>
      </c>
      <c r="J2">
        <v>0</v>
      </c>
      <c r="K2" t="s">
        <v>7</v>
      </c>
      <c r="L2" t="s">
        <v>60</v>
      </c>
    </row>
    <row r="3" spans="1:17" x14ac:dyDescent="0.3">
      <c r="A3" t="s">
        <v>141</v>
      </c>
      <c r="B3">
        <v>1</v>
      </c>
      <c r="D3">
        <v>-5.5</v>
      </c>
      <c r="E3">
        <v>46</v>
      </c>
      <c r="F3" t="s">
        <v>118</v>
      </c>
      <c r="G3" t="s">
        <v>143</v>
      </c>
      <c r="H3" t="s">
        <v>131</v>
      </c>
      <c r="I3">
        <v>1</v>
      </c>
      <c r="J3">
        <v>0</v>
      </c>
      <c r="K3" t="s">
        <v>7</v>
      </c>
      <c r="L3" t="s">
        <v>60</v>
      </c>
    </row>
    <row r="4" spans="1:17" x14ac:dyDescent="0.3">
      <c r="A4" t="s">
        <v>167</v>
      </c>
      <c r="B4">
        <v>1</v>
      </c>
      <c r="D4">
        <v>11.861807419676801</v>
      </c>
      <c r="E4">
        <v>43.502700216278299</v>
      </c>
      <c r="F4" t="s">
        <v>34</v>
      </c>
      <c r="G4" t="s">
        <v>143</v>
      </c>
      <c r="H4" t="s">
        <v>58</v>
      </c>
      <c r="I4">
        <v>1</v>
      </c>
      <c r="J4">
        <v>0</v>
      </c>
      <c r="K4" t="s">
        <v>7</v>
      </c>
      <c r="L4" t="s">
        <v>60</v>
      </c>
      <c r="O4" t="s">
        <v>59</v>
      </c>
    </row>
    <row r="5" spans="1:17" x14ac:dyDescent="0.3">
      <c r="A5" t="s">
        <v>168</v>
      </c>
      <c r="B5">
        <v>1</v>
      </c>
      <c r="D5">
        <v>11.861807419676801</v>
      </c>
      <c r="E5">
        <v>43.502700216278299</v>
      </c>
      <c r="F5" t="s">
        <v>169</v>
      </c>
      <c r="G5" t="s">
        <v>170</v>
      </c>
      <c r="H5" t="s">
        <v>58</v>
      </c>
      <c r="I5">
        <v>1</v>
      </c>
      <c r="J5">
        <v>0</v>
      </c>
      <c r="K5" t="s">
        <v>7</v>
      </c>
      <c r="L5" t="s">
        <v>60</v>
      </c>
      <c r="O5" t="s">
        <v>59</v>
      </c>
    </row>
    <row r="6" spans="1:17" x14ac:dyDescent="0.3">
      <c r="A6" t="s">
        <v>171</v>
      </c>
      <c r="B6">
        <v>1</v>
      </c>
      <c r="D6">
        <v>-5.5</v>
      </c>
      <c r="E6">
        <v>46</v>
      </c>
      <c r="F6" t="s">
        <v>120</v>
      </c>
      <c r="G6" t="s">
        <v>170</v>
      </c>
      <c r="H6" t="s">
        <v>131</v>
      </c>
      <c r="I6">
        <v>1</v>
      </c>
      <c r="J6">
        <v>0</v>
      </c>
      <c r="K6" t="s">
        <v>7</v>
      </c>
      <c r="L6" t="s">
        <v>60</v>
      </c>
    </row>
    <row r="7" spans="1:17" x14ac:dyDescent="0.3">
      <c r="A7" t="s">
        <v>172</v>
      </c>
      <c r="B7">
        <v>1</v>
      </c>
      <c r="D7">
        <v>-5.5</v>
      </c>
      <c r="E7">
        <v>46</v>
      </c>
      <c r="F7" t="s">
        <v>173</v>
      </c>
      <c r="G7" t="s">
        <v>143</v>
      </c>
      <c r="H7" t="s">
        <v>131</v>
      </c>
      <c r="I7">
        <v>1</v>
      </c>
      <c r="J7">
        <v>0</v>
      </c>
      <c r="K7" t="s">
        <v>7</v>
      </c>
      <c r="L7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F24" sqref="F24"/>
    </sheetView>
  </sheetViews>
  <sheetFormatPr defaultRowHeight="14.4" x14ac:dyDescent="0.3"/>
  <cols>
    <col min="1" max="1" width="33.88671875" bestFit="1" customWidth="1"/>
    <col min="2" max="2" width="26.5546875" bestFit="1" customWidth="1"/>
  </cols>
  <sheetData>
    <row r="1" spans="1:8" x14ac:dyDescent="0.3">
      <c r="A1" t="s">
        <v>110</v>
      </c>
      <c r="B1" t="s">
        <v>61</v>
      </c>
      <c r="C1" t="s">
        <v>46</v>
      </c>
      <c r="D1" t="s">
        <v>43</v>
      </c>
      <c r="E1" t="s">
        <v>62</v>
      </c>
      <c r="F1" t="s">
        <v>63</v>
      </c>
      <c r="G1" t="s">
        <v>64</v>
      </c>
      <c r="H1" t="s">
        <v>65</v>
      </c>
    </row>
    <row r="2" spans="1:8" x14ac:dyDescent="0.3">
      <c r="A2" t="s">
        <v>168</v>
      </c>
      <c r="B2" t="s">
        <v>168</v>
      </c>
      <c r="C2" t="s">
        <v>169</v>
      </c>
      <c r="E2">
        <v>0</v>
      </c>
      <c r="F2">
        <v>0</v>
      </c>
      <c r="G2">
        <v>-1</v>
      </c>
      <c r="H2" t="s">
        <v>66</v>
      </c>
    </row>
    <row r="3" spans="1:8" x14ac:dyDescent="0.3">
      <c r="A3" t="s">
        <v>172</v>
      </c>
      <c r="B3" t="s">
        <v>172</v>
      </c>
      <c r="C3" t="s">
        <v>173</v>
      </c>
      <c r="E3">
        <v>3759.2140887433002</v>
      </c>
      <c r="F3">
        <v>0</v>
      </c>
      <c r="G3">
        <v>-1</v>
      </c>
      <c r="H3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workbookViewId="0">
      <selection activeCell="A10" sqref="A10"/>
    </sheetView>
  </sheetViews>
  <sheetFormatPr defaultRowHeight="14.4" x14ac:dyDescent="0.3"/>
  <cols>
    <col min="1" max="1" width="30" bestFit="1" customWidth="1"/>
    <col min="2" max="3" width="28.6640625" bestFit="1" customWidth="1"/>
  </cols>
  <sheetData>
    <row r="1" spans="1:54" x14ac:dyDescent="0.3">
      <c r="A1" t="s">
        <v>110</v>
      </c>
      <c r="B1" t="s">
        <v>98</v>
      </c>
      <c r="C1" t="s">
        <v>99</v>
      </c>
      <c r="D1" t="s">
        <v>43</v>
      </c>
      <c r="E1" t="s">
        <v>46</v>
      </c>
      <c r="F1" t="s">
        <v>81</v>
      </c>
      <c r="G1" t="s">
        <v>65</v>
      </c>
      <c r="H1" t="s">
        <v>78</v>
      </c>
      <c r="I1" t="s">
        <v>79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135</v>
      </c>
      <c r="P1" t="s">
        <v>62</v>
      </c>
      <c r="Q1" t="s">
        <v>72</v>
      </c>
      <c r="R1" t="s">
        <v>73</v>
      </c>
      <c r="S1" t="s">
        <v>80</v>
      </c>
      <c r="T1" t="s">
        <v>76</v>
      </c>
      <c r="U1" t="s">
        <v>77</v>
      </c>
      <c r="V1" t="s">
        <v>85</v>
      </c>
      <c r="W1" t="s">
        <v>100</v>
      </c>
      <c r="X1" t="s">
        <v>101</v>
      </c>
      <c r="Y1" t="s">
        <v>82</v>
      </c>
      <c r="Z1" t="s">
        <v>83</v>
      </c>
      <c r="AA1" t="s">
        <v>84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95</v>
      </c>
      <c r="AK1" t="s">
        <v>174</v>
      </c>
      <c r="AL1" t="s">
        <v>175</v>
      </c>
      <c r="AM1" t="s">
        <v>150</v>
      </c>
      <c r="AN1" t="s">
        <v>138</v>
      </c>
      <c r="AO1" t="s">
        <v>136</v>
      </c>
      <c r="AP1" t="s">
        <v>137</v>
      </c>
      <c r="AQ1" t="s">
        <v>108</v>
      </c>
      <c r="AR1" t="s">
        <v>107</v>
      </c>
      <c r="AS1" t="s">
        <v>106</v>
      </c>
      <c r="AT1" t="s">
        <v>102</v>
      </c>
      <c r="AU1" t="s">
        <v>103</v>
      </c>
      <c r="AV1" t="s">
        <v>104</v>
      </c>
      <c r="AW1" t="s">
        <v>109</v>
      </c>
      <c r="AX1" t="s">
        <v>105</v>
      </c>
      <c r="AY1" t="s">
        <v>176</v>
      </c>
      <c r="AZ1" t="s">
        <v>48</v>
      </c>
      <c r="BA1" t="s">
        <v>139</v>
      </c>
      <c r="BB1" t="s">
        <v>140</v>
      </c>
    </row>
    <row r="2" spans="1:54" x14ac:dyDescent="0.3">
      <c r="A2" t="s">
        <v>177</v>
      </c>
      <c r="B2" t="s">
        <v>141</v>
      </c>
      <c r="C2" t="s">
        <v>167</v>
      </c>
      <c r="E2" t="s">
        <v>178</v>
      </c>
      <c r="F2">
        <v>0.69</v>
      </c>
      <c r="G2" t="s">
        <v>66</v>
      </c>
      <c r="H2">
        <v>0</v>
      </c>
      <c r="I2">
        <v>30</v>
      </c>
      <c r="J2">
        <v>0</v>
      </c>
      <c r="K2">
        <v>0</v>
      </c>
      <c r="L2" t="s">
        <v>66</v>
      </c>
      <c r="M2">
        <v>0</v>
      </c>
      <c r="N2" t="s">
        <v>7</v>
      </c>
      <c r="Q2">
        <v>0</v>
      </c>
      <c r="R2">
        <v>1</v>
      </c>
      <c r="S2">
        <v>79103.134036374293</v>
      </c>
      <c r="T2">
        <v>0</v>
      </c>
      <c r="U2">
        <v>0</v>
      </c>
      <c r="V2">
        <v>0</v>
      </c>
      <c r="W2">
        <v>0</v>
      </c>
      <c r="X2">
        <v>1</v>
      </c>
      <c r="Y2" t="s">
        <v>96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H2">
        <v>1</v>
      </c>
      <c r="AI2">
        <v>1</v>
      </c>
      <c r="AJ2">
        <v>0</v>
      </c>
      <c r="AL2">
        <v>1</v>
      </c>
      <c r="AN2">
        <v>1</v>
      </c>
      <c r="AP2">
        <v>1</v>
      </c>
      <c r="BA2" t="s">
        <v>96</v>
      </c>
      <c r="BB2">
        <v>0</v>
      </c>
    </row>
    <row r="3" spans="1:54" x14ac:dyDescent="0.3">
      <c r="A3" t="s">
        <v>179</v>
      </c>
      <c r="B3" t="s">
        <v>141</v>
      </c>
      <c r="C3" t="s">
        <v>168</v>
      </c>
      <c r="E3" t="s">
        <v>180</v>
      </c>
      <c r="F3">
        <v>1.04</v>
      </c>
      <c r="G3" t="s">
        <v>66</v>
      </c>
      <c r="H3">
        <v>0</v>
      </c>
      <c r="I3">
        <v>25</v>
      </c>
      <c r="J3">
        <v>0</v>
      </c>
      <c r="K3">
        <v>0</v>
      </c>
      <c r="L3" t="s">
        <v>66</v>
      </c>
      <c r="M3">
        <v>0</v>
      </c>
      <c r="N3" t="s">
        <v>7</v>
      </c>
      <c r="Q3">
        <v>0</v>
      </c>
      <c r="R3">
        <v>1</v>
      </c>
      <c r="S3">
        <v>6592.87850802293</v>
      </c>
      <c r="T3">
        <v>0</v>
      </c>
      <c r="U3">
        <v>0</v>
      </c>
      <c r="V3">
        <v>0</v>
      </c>
      <c r="W3">
        <v>0</v>
      </c>
      <c r="X3">
        <v>1</v>
      </c>
      <c r="Y3" t="s">
        <v>96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H3">
        <v>1</v>
      </c>
      <c r="AI3">
        <v>1</v>
      </c>
      <c r="AJ3">
        <v>0</v>
      </c>
      <c r="AL3">
        <v>1</v>
      </c>
      <c r="AN3">
        <v>1</v>
      </c>
      <c r="AP3">
        <v>1</v>
      </c>
      <c r="BA3" t="s">
        <v>96</v>
      </c>
      <c r="BB3">
        <v>0</v>
      </c>
    </row>
    <row r="4" spans="1:54" x14ac:dyDescent="0.3">
      <c r="A4" t="s">
        <v>181</v>
      </c>
      <c r="B4" t="s">
        <v>167</v>
      </c>
      <c r="C4" t="s">
        <v>171</v>
      </c>
      <c r="E4" t="s">
        <v>182</v>
      </c>
      <c r="F4">
        <v>0.87870000000000004</v>
      </c>
      <c r="G4" t="s">
        <v>66</v>
      </c>
      <c r="H4">
        <v>0</v>
      </c>
      <c r="I4">
        <v>20</v>
      </c>
      <c r="J4">
        <v>0</v>
      </c>
      <c r="K4">
        <v>0</v>
      </c>
      <c r="L4" t="s">
        <v>66</v>
      </c>
      <c r="M4">
        <v>0</v>
      </c>
      <c r="N4" t="s">
        <v>7</v>
      </c>
      <c r="Q4">
        <v>0.3</v>
      </c>
      <c r="R4">
        <v>1</v>
      </c>
      <c r="S4">
        <v>56809.571943766801</v>
      </c>
      <c r="T4">
        <v>0</v>
      </c>
      <c r="U4">
        <v>0</v>
      </c>
      <c r="V4">
        <v>0</v>
      </c>
      <c r="W4">
        <v>0</v>
      </c>
      <c r="X4">
        <v>1</v>
      </c>
      <c r="Y4" t="s">
        <v>96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H4">
        <v>1</v>
      </c>
      <c r="AI4">
        <v>1</v>
      </c>
      <c r="AJ4">
        <v>0</v>
      </c>
      <c r="AL4">
        <v>1</v>
      </c>
      <c r="AN4">
        <v>1</v>
      </c>
      <c r="AP4">
        <v>1</v>
      </c>
      <c r="BA4" t="s">
        <v>96</v>
      </c>
      <c r="BB4">
        <v>0</v>
      </c>
    </row>
    <row r="5" spans="1:54" x14ac:dyDescent="0.3">
      <c r="A5" t="s">
        <v>172</v>
      </c>
      <c r="B5" t="s">
        <v>171</v>
      </c>
      <c r="C5" t="s">
        <v>172</v>
      </c>
      <c r="E5" t="s">
        <v>173</v>
      </c>
      <c r="F5">
        <v>1</v>
      </c>
      <c r="G5" t="s">
        <v>66</v>
      </c>
      <c r="H5">
        <v>0</v>
      </c>
      <c r="I5" t="s">
        <v>7</v>
      </c>
      <c r="J5">
        <v>0</v>
      </c>
      <c r="K5">
        <v>0</v>
      </c>
      <c r="L5" t="s">
        <v>66</v>
      </c>
      <c r="M5">
        <v>0</v>
      </c>
      <c r="N5" t="s">
        <v>7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 t="s">
        <v>96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H5">
        <v>1</v>
      </c>
      <c r="AI5">
        <v>1</v>
      </c>
      <c r="AJ5">
        <v>0</v>
      </c>
      <c r="AL5">
        <v>1</v>
      </c>
      <c r="AN5">
        <v>1</v>
      </c>
      <c r="AP5">
        <v>1</v>
      </c>
      <c r="BA5" t="s">
        <v>96</v>
      </c>
      <c r="BB5">
        <v>0</v>
      </c>
    </row>
  </sheetData>
  <autoFilter ref="A1:BB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>
      <selection activeCell="D11" sqref="D11"/>
    </sheetView>
  </sheetViews>
  <sheetFormatPr defaultRowHeight="14.4" x14ac:dyDescent="0.3"/>
  <cols>
    <col min="1" max="1" width="37.88671875" bestFit="1" customWidth="1"/>
    <col min="2" max="2" width="22.6640625" bestFit="1" customWidth="1"/>
  </cols>
  <sheetData>
    <row r="1" spans="1:41" x14ac:dyDescent="0.3">
      <c r="A1" t="s">
        <v>110</v>
      </c>
      <c r="B1" t="s">
        <v>61</v>
      </c>
      <c r="C1" t="s">
        <v>52</v>
      </c>
      <c r="D1" t="s">
        <v>43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135</v>
      </c>
      <c r="K1" t="s">
        <v>72</v>
      </c>
      <c r="L1" t="s">
        <v>73</v>
      </c>
      <c r="M1" t="s">
        <v>62</v>
      </c>
      <c r="N1" t="s">
        <v>74</v>
      </c>
      <c r="O1" t="s">
        <v>75</v>
      </c>
      <c r="P1" t="s">
        <v>63</v>
      </c>
      <c r="Q1" t="s">
        <v>64</v>
      </c>
      <c r="R1" t="s">
        <v>46</v>
      </c>
      <c r="S1" t="s">
        <v>76</v>
      </c>
      <c r="T1" t="s">
        <v>77</v>
      </c>
      <c r="U1" t="s">
        <v>65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93</v>
      </c>
      <c r="AL1" t="s">
        <v>94</v>
      </c>
      <c r="AM1" t="s">
        <v>95</v>
      </c>
      <c r="AN1" t="s">
        <v>48</v>
      </c>
      <c r="AO1" t="s">
        <v>47</v>
      </c>
    </row>
    <row r="2" spans="1:41" x14ac:dyDescent="0.3">
      <c r="A2" t="s">
        <v>141</v>
      </c>
      <c r="B2" t="s">
        <v>141</v>
      </c>
      <c r="C2" t="s">
        <v>60</v>
      </c>
      <c r="E2">
        <v>0</v>
      </c>
      <c r="F2">
        <v>0</v>
      </c>
      <c r="G2" t="s">
        <v>66</v>
      </c>
      <c r="H2">
        <v>0</v>
      </c>
      <c r="I2" t="s">
        <v>7</v>
      </c>
      <c r="K2">
        <v>0</v>
      </c>
      <c r="L2">
        <v>1</v>
      </c>
      <c r="N2" t="e">
        <f t="shared" ref="N2" si="0">-inf</f>
        <v>#NAME?</v>
      </c>
      <c r="O2" t="s">
        <v>7</v>
      </c>
      <c r="P2">
        <v>0</v>
      </c>
      <c r="Q2">
        <v>1</v>
      </c>
      <c r="R2" t="s">
        <v>118</v>
      </c>
      <c r="S2">
        <v>24.568000000000001</v>
      </c>
      <c r="T2">
        <v>0</v>
      </c>
      <c r="U2" t="s">
        <v>66</v>
      </c>
      <c r="V2">
        <v>0</v>
      </c>
      <c r="W2" t="s">
        <v>7</v>
      </c>
      <c r="X2">
        <v>0</v>
      </c>
      <c r="Y2">
        <v>1</v>
      </c>
      <c r="Z2" t="s">
        <v>96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J2">
        <v>1</v>
      </c>
      <c r="AK2">
        <v>1</v>
      </c>
      <c r="AL2">
        <v>1</v>
      </c>
      <c r="AM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5" sqref="E35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A12" sqref="A12"/>
    </sheetView>
  </sheetViews>
  <sheetFormatPr defaultRowHeight="14.4" x14ac:dyDescent="0.3"/>
  <cols>
    <col min="1" max="2" width="28.6640625" bestFit="1" customWidth="1"/>
    <col min="5" max="5" width="10" bestFit="1" customWidth="1"/>
    <col min="9" max="9" width="10" bestFit="1" customWidth="1"/>
  </cols>
  <sheetData>
    <row r="1" spans="1:30" x14ac:dyDescent="0.3">
      <c r="A1" t="s">
        <v>110</v>
      </c>
      <c r="B1" t="s">
        <v>61</v>
      </c>
      <c r="C1" t="s">
        <v>43</v>
      </c>
      <c r="D1" t="s">
        <v>46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62</v>
      </c>
      <c r="R1" t="s">
        <v>63</v>
      </c>
      <c r="S1" t="s">
        <v>163</v>
      </c>
      <c r="T1" t="s">
        <v>64</v>
      </c>
      <c r="U1" t="s">
        <v>76</v>
      </c>
      <c r="V1" t="s">
        <v>77</v>
      </c>
      <c r="W1" t="s">
        <v>164</v>
      </c>
      <c r="X1" t="s">
        <v>80</v>
      </c>
      <c r="Y1" t="s">
        <v>165</v>
      </c>
      <c r="Z1" t="s">
        <v>65</v>
      </c>
      <c r="AA1" t="s">
        <v>78</v>
      </c>
      <c r="AB1" t="s">
        <v>79</v>
      </c>
      <c r="AC1" t="s">
        <v>166</v>
      </c>
      <c r="AD1" t="s">
        <v>48</v>
      </c>
    </row>
    <row r="2" spans="1:30" x14ac:dyDescent="0.3">
      <c r="A2" t="s">
        <v>132</v>
      </c>
      <c r="B2" t="s">
        <v>132</v>
      </c>
      <c r="D2" t="s">
        <v>112</v>
      </c>
      <c r="E2" t="s">
        <v>7</v>
      </c>
      <c r="F2">
        <v>0</v>
      </c>
      <c r="G2" t="s">
        <v>96</v>
      </c>
      <c r="H2">
        <v>0</v>
      </c>
      <c r="I2" t="s">
        <v>7</v>
      </c>
      <c r="K2">
        <v>-1</v>
      </c>
      <c r="L2">
        <v>1</v>
      </c>
      <c r="M2">
        <v>0</v>
      </c>
      <c r="N2" t="s">
        <v>96</v>
      </c>
      <c r="O2" t="s">
        <v>96</v>
      </c>
      <c r="P2" t="s">
        <v>96</v>
      </c>
      <c r="R2">
        <v>0</v>
      </c>
      <c r="T2">
        <v>1</v>
      </c>
      <c r="U2">
        <v>-300</v>
      </c>
      <c r="V2">
        <v>0</v>
      </c>
      <c r="W2">
        <v>0</v>
      </c>
      <c r="X2">
        <v>0</v>
      </c>
      <c r="Y2">
        <v>0</v>
      </c>
      <c r="Z2" t="s">
        <v>66</v>
      </c>
      <c r="AA2">
        <v>0</v>
      </c>
      <c r="AB2" t="s">
        <v>7</v>
      </c>
      <c r="AC2">
        <v>0</v>
      </c>
    </row>
  </sheetData>
  <autoFilter ref="A1:AD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E10" sqref="E10"/>
    </sheetView>
  </sheetViews>
  <sheetFormatPr defaultRowHeight="14.4" x14ac:dyDescent="0.3"/>
  <sheetData>
    <row r="1" spans="1:2" x14ac:dyDescent="0.3">
      <c r="A1" t="s">
        <v>146</v>
      </c>
      <c r="B1" t="s">
        <v>168</v>
      </c>
    </row>
    <row r="2" spans="1:2" x14ac:dyDescent="0.3">
      <c r="A2" s="1">
        <v>43466</v>
      </c>
      <c r="B2">
        <v>21244.721737339001</v>
      </c>
    </row>
    <row r="3" spans="1:2" x14ac:dyDescent="0.3">
      <c r="A3" s="1">
        <v>43466.041666666664</v>
      </c>
      <c r="B3">
        <v>21829.205770521101</v>
      </c>
    </row>
    <row r="4" spans="1:2" x14ac:dyDescent="0.3">
      <c r="A4" s="1">
        <v>43466.083333333336</v>
      </c>
      <c r="B4">
        <v>23923.2027827846</v>
      </c>
    </row>
    <row r="5" spans="1:2" x14ac:dyDescent="0.3">
      <c r="A5" s="1">
        <v>43466.125</v>
      </c>
      <c r="B5">
        <v>29835.824722945101</v>
      </c>
    </row>
    <row r="6" spans="1:2" x14ac:dyDescent="0.3">
      <c r="A6" s="1">
        <v>43466.166666666664</v>
      </c>
      <c r="B6">
        <v>39361.634530993797</v>
      </c>
    </row>
    <row r="7" spans="1:2" x14ac:dyDescent="0.3">
      <c r="A7" s="1">
        <v>43466.208333333336</v>
      </c>
      <c r="B7">
        <v>41875.113789239498</v>
      </c>
    </row>
    <row r="8" spans="1:2" x14ac:dyDescent="0.3">
      <c r="A8" s="1">
        <v>43466.25</v>
      </c>
      <c r="B8">
        <v>40045.018286544102</v>
      </c>
    </row>
    <row r="9" spans="1:2" x14ac:dyDescent="0.3">
      <c r="A9" s="1">
        <v>43466.291666666664</v>
      </c>
      <c r="B9">
        <v>38167.330863204799</v>
      </c>
    </row>
    <row r="10" spans="1:2" x14ac:dyDescent="0.3">
      <c r="A10" s="1">
        <v>43466.333333333336</v>
      </c>
      <c r="B10">
        <v>36317.040005582101</v>
      </c>
    </row>
    <row r="11" spans="1:2" x14ac:dyDescent="0.3">
      <c r="A11" s="1">
        <v>43466.375</v>
      </c>
      <c r="B11">
        <v>34499.809763646197</v>
      </c>
    </row>
    <row r="12" spans="1:2" x14ac:dyDescent="0.3">
      <c r="A12" s="1">
        <v>43466.416666666664</v>
      </c>
      <c r="B12">
        <v>33235.789462595298</v>
      </c>
    </row>
    <row r="13" spans="1:2" x14ac:dyDescent="0.3">
      <c r="A13" s="1">
        <v>43466.458333333336</v>
      </c>
      <c r="B13">
        <v>32411.059479493601</v>
      </c>
    </row>
    <row r="14" spans="1:2" x14ac:dyDescent="0.3">
      <c r="A14" s="1">
        <v>43466.5</v>
      </c>
      <c r="B14">
        <v>31798.576271805301</v>
      </c>
    </row>
    <row r="15" spans="1:2" x14ac:dyDescent="0.3">
      <c r="A15" s="1">
        <v>43466.541666666664</v>
      </c>
      <c r="B15">
        <v>31711.114158543001</v>
      </c>
    </row>
    <row r="16" spans="1:2" x14ac:dyDescent="0.3">
      <c r="A16" s="1">
        <v>43466.583333333336</v>
      </c>
      <c r="B16">
        <v>31951.545912430101</v>
      </c>
    </row>
    <row r="17" spans="1:2" x14ac:dyDescent="0.3">
      <c r="A17" s="1">
        <v>43466.625</v>
      </c>
      <c r="B17">
        <v>32883.285760600702</v>
      </c>
    </row>
    <row r="18" spans="1:2" x14ac:dyDescent="0.3">
      <c r="A18" s="1">
        <v>43466.666666666664</v>
      </c>
      <c r="B18">
        <v>33709.643568735701</v>
      </c>
    </row>
    <row r="19" spans="1:2" x14ac:dyDescent="0.3">
      <c r="A19" s="1">
        <v>43466.708333333336</v>
      </c>
      <c r="B19">
        <v>34524.370481024998</v>
      </c>
    </row>
    <row r="20" spans="1:2" x14ac:dyDescent="0.3">
      <c r="A20" s="1">
        <v>43466.75</v>
      </c>
      <c r="B20">
        <v>34772.389644686802</v>
      </c>
    </row>
    <row r="21" spans="1:2" x14ac:dyDescent="0.3">
      <c r="A21" s="1">
        <v>43466.791666666664</v>
      </c>
      <c r="B21">
        <v>33887.053195171196</v>
      </c>
    </row>
    <row r="22" spans="1:2" x14ac:dyDescent="0.3">
      <c r="A22" s="1">
        <v>43466.833333333336</v>
      </c>
      <c r="B22">
        <v>30746.434366830399</v>
      </c>
    </row>
    <row r="23" spans="1:2" x14ac:dyDescent="0.3">
      <c r="A23" s="1">
        <v>43466.875</v>
      </c>
      <c r="B23">
        <v>26206.653202087899</v>
      </c>
    </row>
    <row r="24" spans="1:2" x14ac:dyDescent="0.3">
      <c r="A24" s="1">
        <v>43466.916666666664</v>
      </c>
      <c r="B24">
        <v>22006.013570847099</v>
      </c>
    </row>
    <row r="25" spans="1:2" x14ac:dyDescent="0.3">
      <c r="A25" s="1">
        <v>43466.958333333336</v>
      </c>
      <c r="B25">
        <v>20525.349307217701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61"/>
  <sheetViews>
    <sheetView workbookViewId="0">
      <selection activeCell="F8" sqref="F8"/>
    </sheetView>
  </sheetViews>
  <sheetFormatPr defaultRowHeight="14.4" x14ac:dyDescent="0.3"/>
  <sheetData>
    <row r="1" spans="1:4" x14ac:dyDescent="0.3">
      <c r="A1" t="s">
        <v>146</v>
      </c>
      <c r="B1" t="s">
        <v>147</v>
      </c>
      <c r="C1" t="s">
        <v>148</v>
      </c>
      <c r="D1" t="s">
        <v>149</v>
      </c>
    </row>
    <row r="2" spans="1:4" x14ac:dyDescent="0.3">
      <c r="A2" s="1">
        <v>43466</v>
      </c>
      <c r="B2">
        <v>1</v>
      </c>
      <c r="C2">
        <v>1</v>
      </c>
      <c r="D2">
        <v>1</v>
      </c>
    </row>
    <row r="3" spans="1:4" x14ac:dyDescent="0.3">
      <c r="A3" s="1">
        <v>43466.041666666664</v>
      </c>
      <c r="B3">
        <v>1</v>
      </c>
      <c r="C3">
        <v>1</v>
      </c>
      <c r="D3">
        <v>1</v>
      </c>
    </row>
    <row r="4" spans="1:4" x14ac:dyDescent="0.3">
      <c r="A4" s="1">
        <v>43466.083333333336</v>
      </c>
      <c r="B4">
        <v>1</v>
      </c>
      <c r="C4">
        <v>1</v>
      </c>
      <c r="D4">
        <v>1</v>
      </c>
    </row>
    <row r="5" spans="1:4" x14ac:dyDescent="0.3">
      <c r="A5" s="1">
        <v>43466.125</v>
      </c>
      <c r="B5">
        <v>1</v>
      </c>
      <c r="C5">
        <v>1</v>
      </c>
      <c r="D5">
        <v>1</v>
      </c>
    </row>
    <row r="6" spans="1:4" x14ac:dyDescent="0.3">
      <c r="A6" s="1">
        <v>43466.166666666664</v>
      </c>
      <c r="B6">
        <v>1</v>
      </c>
      <c r="C6">
        <v>1</v>
      </c>
      <c r="D6">
        <v>1</v>
      </c>
    </row>
    <row r="7" spans="1:4" x14ac:dyDescent="0.3">
      <c r="A7" s="1">
        <v>43466.208333333336</v>
      </c>
      <c r="B7">
        <v>1</v>
      </c>
      <c r="C7">
        <v>1</v>
      </c>
      <c r="D7">
        <v>1</v>
      </c>
    </row>
    <row r="8" spans="1:4" x14ac:dyDescent="0.3">
      <c r="A8" s="1">
        <v>43466.25</v>
      </c>
      <c r="B8">
        <v>1</v>
      </c>
      <c r="C8">
        <v>1</v>
      </c>
      <c r="D8">
        <v>1</v>
      </c>
    </row>
    <row r="9" spans="1:4" x14ac:dyDescent="0.3">
      <c r="A9" s="1">
        <v>43466.291666666664</v>
      </c>
      <c r="B9">
        <v>1</v>
      </c>
      <c r="C9">
        <v>1</v>
      </c>
      <c r="D9">
        <v>1</v>
      </c>
    </row>
    <row r="10" spans="1:4" x14ac:dyDescent="0.3">
      <c r="A10" s="1">
        <v>43466.333333333336</v>
      </c>
      <c r="B10">
        <v>1</v>
      </c>
      <c r="C10">
        <v>1</v>
      </c>
      <c r="D10">
        <v>1</v>
      </c>
    </row>
    <row r="11" spans="1:4" x14ac:dyDescent="0.3">
      <c r="A11" s="1">
        <v>43466.375</v>
      </c>
      <c r="B11">
        <v>1</v>
      </c>
      <c r="C11">
        <v>1</v>
      </c>
      <c r="D11">
        <v>1</v>
      </c>
    </row>
    <row r="12" spans="1:4" x14ac:dyDescent="0.3">
      <c r="A12" s="1">
        <v>43466.416666666664</v>
      </c>
      <c r="B12">
        <v>1</v>
      </c>
      <c r="C12">
        <v>1</v>
      </c>
      <c r="D12">
        <v>1</v>
      </c>
    </row>
    <row r="13" spans="1:4" x14ac:dyDescent="0.3">
      <c r="A13" s="1">
        <v>43466.458333333336</v>
      </c>
      <c r="B13">
        <v>1</v>
      </c>
      <c r="C13">
        <v>1</v>
      </c>
      <c r="D13">
        <v>1</v>
      </c>
    </row>
    <row r="14" spans="1:4" x14ac:dyDescent="0.3">
      <c r="A14" s="1">
        <v>43466.5</v>
      </c>
      <c r="B14">
        <v>1</v>
      </c>
      <c r="C14">
        <v>1</v>
      </c>
      <c r="D14">
        <v>1</v>
      </c>
    </row>
    <row r="15" spans="1:4" x14ac:dyDescent="0.3">
      <c r="A15" s="1">
        <v>43466.541666666664</v>
      </c>
      <c r="B15">
        <v>1</v>
      </c>
      <c r="C15">
        <v>1</v>
      </c>
      <c r="D15">
        <v>1</v>
      </c>
    </row>
    <row r="16" spans="1:4" x14ac:dyDescent="0.3">
      <c r="A16" s="1">
        <v>43466.583333333336</v>
      </c>
      <c r="B16">
        <v>1</v>
      </c>
      <c r="C16">
        <v>1</v>
      </c>
      <c r="D16">
        <v>1</v>
      </c>
    </row>
    <row r="17" spans="1:4" x14ac:dyDescent="0.3">
      <c r="A17" s="1">
        <v>43466.625</v>
      </c>
      <c r="B17">
        <v>1</v>
      </c>
      <c r="C17">
        <v>1</v>
      </c>
      <c r="D17">
        <v>1</v>
      </c>
    </row>
    <row r="18" spans="1:4" x14ac:dyDescent="0.3">
      <c r="A18" s="1">
        <v>43466.666666666664</v>
      </c>
      <c r="B18">
        <v>1</v>
      </c>
      <c r="C18">
        <v>1</v>
      </c>
      <c r="D18">
        <v>1</v>
      </c>
    </row>
    <row r="19" spans="1:4" x14ac:dyDescent="0.3">
      <c r="A19" s="1">
        <v>43466.708333333336</v>
      </c>
      <c r="B19">
        <v>1</v>
      </c>
      <c r="C19">
        <v>1</v>
      </c>
      <c r="D19">
        <v>1</v>
      </c>
    </row>
    <row r="20" spans="1:4" x14ac:dyDescent="0.3">
      <c r="A20" s="1">
        <v>43466.75</v>
      </c>
      <c r="B20">
        <v>1</v>
      </c>
      <c r="C20">
        <v>1</v>
      </c>
      <c r="D20">
        <v>1</v>
      </c>
    </row>
    <row r="21" spans="1:4" x14ac:dyDescent="0.3">
      <c r="A21" s="1">
        <v>43466.791666666664</v>
      </c>
      <c r="B21">
        <v>1</v>
      </c>
      <c r="C21">
        <v>1</v>
      </c>
      <c r="D21">
        <v>1</v>
      </c>
    </row>
    <row r="22" spans="1:4" x14ac:dyDescent="0.3">
      <c r="A22" s="1">
        <v>43466.833333333336</v>
      </c>
      <c r="B22">
        <v>1</v>
      </c>
      <c r="C22">
        <v>1</v>
      </c>
      <c r="D22">
        <v>1</v>
      </c>
    </row>
    <row r="23" spans="1:4" x14ac:dyDescent="0.3">
      <c r="A23" s="1">
        <v>43466.875</v>
      </c>
      <c r="B23">
        <v>1</v>
      </c>
      <c r="C23">
        <v>1</v>
      </c>
      <c r="D23">
        <v>1</v>
      </c>
    </row>
    <row r="24" spans="1:4" x14ac:dyDescent="0.3">
      <c r="A24" s="1">
        <v>43466.916666666664</v>
      </c>
      <c r="B24">
        <v>1</v>
      </c>
      <c r="C24">
        <v>1</v>
      </c>
      <c r="D24">
        <v>1</v>
      </c>
    </row>
    <row r="25" spans="1:4" x14ac:dyDescent="0.3">
      <c r="A25" s="1">
        <v>43466.958333333336</v>
      </c>
      <c r="B25">
        <v>1</v>
      </c>
      <c r="C25">
        <v>1</v>
      </c>
      <c r="D25">
        <v>1</v>
      </c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Carrier</vt:lpstr>
      <vt:lpstr>Bus</vt:lpstr>
      <vt:lpstr>Load</vt:lpstr>
      <vt:lpstr>Line</vt:lpstr>
      <vt:lpstr>Link</vt:lpstr>
      <vt:lpstr>Generator</vt:lpstr>
      <vt:lpstr>StorageUnit</vt:lpstr>
      <vt:lpstr>Store</vt:lpstr>
      <vt:lpstr>loads_t_p_set</vt:lpstr>
      <vt:lpstr>snapshots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</dc:creator>
  <cp:lastModifiedBy>aless</cp:lastModifiedBy>
  <dcterms:created xsi:type="dcterms:W3CDTF">2025-08-14T07:11:29Z</dcterms:created>
  <dcterms:modified xsi:type="dcterms:W3CDTF">2026-04-08T10:40:39Z</dcterms:modified>
</cp:coreProperties>
</file>