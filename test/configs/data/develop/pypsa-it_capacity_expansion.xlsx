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less\sms\transformation_pypsa_smspp\test\configs\data\develop\"/>
    </mc:Choice>
  </mc:AlternateContent>
  <bookViews>
    <workbookView xWindow="0" yWindow="0" windowWidth="23040" windowHeight="7824" activeTab="7"/>
  </bookViews>
  <sheets>
    <sheet name="Carrier" sheetId="1" r:id="rId1"/>
    <sheet name="Bus" sheetId="2" r:id="rId2"/>
    <sheet name="Load" sheetId="3" r:id="rId3"/>
    <sheet name="Line" sheetId="4" r:id="rId4"/>
    <sheet name="Generator" sheetId="5" r:id="rId5"/>
    <sheet name="Link" sheetId="6" r:id="rId6"/>
    <sheet name="StorageUnit" sheetId="7" r:id="rId7"/>
    <sheet name="Store" sheetId="8" r:id="rId8"/>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 i="5" l="1"/>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X2" i="4"/>
  <c r="X3" i="4"/>
  <c r="X4" i="4"/>
  <c r="X5" i="4"/>
  <c r="X6" i="4"/>
</calcChain>
</file>

<file path=xl/sharedStrings.xml><?xml version="1.0" encoding="utf-8"?>
<sst xmlns="http://schemas.openxmlformats.org/spreadsheetml/2006/main" count="1303" uniqueCount="294">
  <si>
    <t>Carrier</t>
  </si>
  <si>
    <t>co2_emissions</t>
  </si>
  <si>
    <t>color</t>
  </si>
  <si>
    <t>nice_name</t>
  </si>
  <si>
    <t>max_growth</t>
  </si>
  <si>
    <t>max_relative_growth</t>
  </si>
  <si>
    <t>AC</t>
  </si>
  <si>
    <t>#70af1d</t>
  </si>
  <si>
    <t>inf</t>
  </si>
  <si>
    <t>DC</t>
  </si>
  <si>
    <t>#8a1caf</t>
  </si>
  <si>
    <t>biomass</t>
  </si>
  <si>
    <t>#baa741</t>
  </si>
  <si>
    <t>geothermal</t>
  </si>
  <si>
    <t>#ba91b1</t>
  </si>
  <si>
    <t>CCGT</t>
  </si>
  <si>
    <t>#a85522</t>
  </si>
  <si>
    <t>Combined-Cycle Gas</t>
  </si>
  <si>
    <t>coal</t>
  </si>
  <si>
    <t>#545454</t>
  </si>
  <si>
    <t>oil</t>
  </si>
  <si>
    <t>#c9c9c9</t>
  </si>
  <si>
    <t>hydro</t>
  </si>
  <si>
    <t>#298c81</t>
  </si>
  <si>
    <t>Reservoir &amp; Dam</t>
  </si>
  <si>
    <t>offwind-float</t>
  </si>
  <si>
    <t>#b5e2fa</t>
  </si>
  <si>
    <t>Offshore Wind (Floating)</t>
  </si>
  <si>
    <t>solar</t>
  </si>
  <si>
    <t>#f9d002</t>
  </si>
  <si>
    <t>Solar</t>
  </si>
  <si>
    <t>onwind</t>
  </si>
  <si>
    <t>#235ebc</t>
  </si>
  <si>
    <t>Onshore Wind</t>
  </si>
  <si>
    <t>solar-hsat</t>
  </si>
  <si>
    <t>#fdb915</t>
  </si>
  <si>
    <t>offwind-ac</t>
  </si>
  <si>
    <t>#6895dd</t>
  </si>
  <si>
    <t>Offshore Wind (AC)</t>
  </si>
  <si>
    <t>offwind-dc</t>
  </si>
  <si>
    <t>#74c6f2</t>
  </si>
  <si>
    <t>Offshore Wind (DC)</t>
  </si>
  <si>
    <t>PHS</t>
  </si>
  <si>
    <t>#51dbcc</t>
  </si>
  <si>
    <t>Pumped Hydro Storage</t>
  </si>
  <si>
    <t>ror</t>
  </si>
  <si>
    <t>#3dbfb0</t>
  </si>
  <si>
    <t>Run of River</t>
  </si>
  <si>
    <t>battery</t>
  </si>
  <si>
    <t>#ace37f</t>
  </si>
  <si>
    <t>Battery Storage</t>
  </si>
  <si>
    <t>H2</t>
  </si>
  <si>
    <t>#bf13a0</t>
  </si>
  <si>
    <t>Hydrogen Storage</t>
  </si>
  <si>
    <t>battery charger</t>
  </si>
  <si>
    <t>#88a75b</t>
  </si>
  <si>
    <t>battery discharger</t>
  </si>
  <si>
    <t>#5d4e29</t>
  </si>
  <si>
    <t>H2 electrolysis</t>
  </si>
  <si>
    <t>#ff29d9</t>
  </si>
  <si>
    <t>H2 fuel cell</t>
  </si>
  <si>
    <t>#c251ae</t>
  </si>
  <si>
    <t>Bus</t>
  </si>
  <si>
    <t>v_nom</t>
  </si>
  <si>
    <t>type</t>
  </si>
  <si>
    <t>x</t>
  </si>
  <si>
    <t>y</t>
  </si>
  <si>
    <t>carrier</t>
  </si>
  <si>
    <t>unit</t>
  </si>
  <si>
    <t>location</t>
  </si>
  <si>
    <t>v_mag_pu_set</t>
  </si>
  <si>
    <t>v_mag_pu_min</t>
  </si>
  <si>
    <t>v_mag_pu_max</t>
  </si>
  <si>
    <t>control</t>
  </si>
  <si>
    <t>generator</t>
  </si>
  <si>
    <t>sub_network</t>
  </si>
  <si>
    <t>substation_off</t>
  </si>
  <si>
    <t>country</t>
  </si>
  <si>
    <t>substation_lv</t>
  </si>
  <si>
    <t>IT0 0</t>
  </si>
  <si>
    <t>Slack</t>
  </si>
  <si>
    <t>IT</t>
  </si>
  <si>
    <t>IT1 0</t>
  </si>
  <si>
    <t>IT0 0 H2</t>
  </si>
  <si>
    <t>PQ</t>
  </si>
  <si>
    <t>IT1 0 H2</t>
  </si>
  <si>
    <t>IT0 0 battery</t>
  </si>
  <si>
    <t>IT1 0 battery</t>
  </si>
  <si>
    <t>Load</t>
  </si>
  <si>
    <t>bus</t>
  </si>
  <si>
    <t>p_set</t>
  </si>
  <si>
    <t>q_set</t>
  </si>
  <si>
    <t>sign</t>
  </si>
  <si>
    <t>active</t>
  </si>
  <si>
    <t>True</t>
  </si>
  <si>
    <t>Generator</t>
  </si>
  <si>
    <t>p_nom</t>
  </si>
  <si>
    <t>p_nom_mod</t>
  </si>
  <si>
    <t>p_nom_extendable</t>
  </si>
  <si>
    <t>p_nom_min</t>
  </si>
  <si>
    <t>p_nom_max</t>
  </si>
  <si>
    <t>p_min_pu</t>
  </si>
  <si>
    <t>p_max_pu</t>
  </si>
  <si>
    <t>e_sum_min</t>
  </si>
  <si>
    <t>e_sum_max</t>
  </si>
  <si>
    <t>marginal_cost</t>
  </si>
  <si>
    <t>marginal_cost_quadratic</t>
  </si>
  <si>
    <t>build_year</t>
  </si>
  <si>
    <t>lifetime</t>
  </si>
  <si>
    <t>capital_cost</t>
  </si>
  <si>
    <t>efficiency</t>
  </si>
  <si>
    <t>committable</t>
  </si>
  <si>
    <t>start_up_cost</t>
  </si>
  <si>
    <t>shut_down_cost</t>
  </si>
  <si>
    <t>stand_by_cost</t>
  </si>
  <si>
    <t>min_up_time</t>
  </si>
  <si>
    <t>min_down_time</t>
  </si>
  <si>
    <t>up_time_before</t>
  </si>
  <si>
    <t>down_time_before</t>
  </si>
  <si>
    <t>ramp_limit_up</t>
  </si>
  <si>
    <t>ramp_limit_down</t>
  </si>
  <si>
    <t>ramp_limit_start_up</t>
  </si>
  <si>
    <t>ramp_limit_shut_down</t>
  </si>
  <si>
    <t>weight</t>
  </si>
  <si>
    <t>p_nom_opt</t>
  </si>
  <si>
    <t>IT0 0 CCGT</t>
  </si>
  <si>
    <t>False</t>
  </si>
  <si>
    <t>IT0 0 biomass</t>
  </si>
  <si>
    <t>IT0 0 coal</t>
  </si>
  <si>
    <t>IT0 0 geothermal</t>
  </si>
  <si>
    <t>IT1 0 biomass</t>
  </si>
  <si>
    <t>IT1 0 coal</t>
  </si>
  <si>
    <t>IT1 0 oil</t>
  </si>
  <si>
    <t>IT0 0 0 offwind-float</t>
  </si>
  <si>
    <t>IT1 0 0 offwind-float</t>
  </si>
  <si>
    <t>IT0 0 0 solar</t>
  </si>
  <si>
    <t>IT1 0 0 solar</t>
  </si>
  <si>
    <t>IT0 0 0 onwind</t>
  </si>
  <si>
    <t>IT1 0 0 onwind</t>
  </si>
  <si>
    <t>IT0 0 0 solar-hsat</t>
  </si>
  <si>
    <t>IT1 0 0 solar-hsat</t>
  </si>
  <si>
    <t>IT0 0 0 offwind-ac</t>
  </si>
  <si>
    <t>IT1 0 0 offwind-ac</t>
  </si>
  <si>
    <t>IT0 0 0 offwind-dc</t>
  </si>
  <si>
    <t>IT0 0 ror</t>
  </si>
  <si>
    <t>IT1 0 ror</t>
  </si>
  <si>
    <t>Link</t>
  </si>
  <si>
    <t>bus0</t>
  </si>
  <si>
    <t>bus1</t>
  </si>
  <si>
    <t>length</t>
  </si>
  <si>
    <t>terrain_factor</t>
  </si>
  <si>
    <t>tags</t>
  </si>
  <si>
    <t>geometry</t>
  </si>
  <si>
    <t>dc</t>
  </si>
  <si>
    <t>project_status</t>
  </si>
  <si>
    <t>under_construction</t>
  </si>
  <si>
    <t>underground</t>
  </si>
  <si>
    <t>voltage</t>
  </si>
  <si>
    <t>underwater_fraction</t>
  </si>
  <si>
    <t>end_line_idx</t>
  </si>
  <si>
    <t>relation/8185711-500-DC</t>
  </si>
  <si>
    <t>relation/8185711</t>
  </si>
  <si>
    <t>LINESTRING (8.306507186431089 40.84110865715793, 8.3065975 40.8410218, 8.3076221 40.8404009, 8.3106852 40.8424889, 8.3135283 40.8447798, 8.3138102 40.8452217, 8.3336448 40.8763037, 8.3547585 40.919545, 8.3629986 40.9246682, 8.438959 40.9365347, 8.4637641 40.9377018, 8.4968945 40.9423702, 8.578777 40.9519001, 8.6672684 40.9695948, 8.7741276 41.0055206, 8.7916373 41.0131954, 8.8120433 41.0387725, 8.8171498 41.1805441, 8.9698212 41.2809838, 10.4425021 41.516806, 12.771601 41.3438287, 12.8105575 41.4138493, 12.8113675 41.429471, 12.8075105 41.4306293, 12.806985991114674 41.42980383291617)</t>
  </si>
  <si>
    <t>IT0 0 H2 Electrolysis</t>
  </si>
  <si>
    <t>IT1 0 H2 Electrolysis</t>
  </si>
  <si>
    <t>IT0 0 H2 Fuel Cell</t>
  </si>
  <si>
    <t>IT1 0 H2 Fuel Cell</t>
  </si>
  <si>
    <t>IT0 0 battery charger</t>
  </si>
  <si>
    <t>IT1 0 battery charger</t>
  </si>
  <si>
    <t>IT0 0 battery discharger</t>
  </si>
  <si>
    <t>IT1 0 battery discharger</t>
  </si>
  <si>
    <t>StorageUnit</t>
  </si>
  <si>
    <t>spill_cost</t>
  </si>
  <si>
    <t>marginal_cost_storage</t>
  </si>
  <si>
    <t>state_of_charge_initial</t>
  </si>
  <si>
    <t>state_of_charge_initial_per_period</t>
  </si>
  <si>
    <t>state_of_charge_set</t>
  </si>
  <si>
    <t>cyclic_state_of_charge</t>
  </si>
  <si>
    <t>cyclic_state_of_charge_per_period</t>
  </si>
  <si>
    <t>max_hours</t>
  </si>
  <si>
    <t>efficiency_store</t>
  </si>
  <si>
    <t>efficiency_dispatch</t>
  </si>
  <si>
    <t>standing_loss</t>
  </si>
  <si>
    <t>inflow</t>
  </si>
  <si>
    <t>IT0 0 PHS</t>
  </si>
  <si>
    <t>IT1 0 PHS</t>
  </si>
  <si>
    <t>IT0 0 hydro</t>
  </si>
  <si>
    <t>IT1 0 hydro</t>
  </si>
  <si>
    <t>Store</t>
  </si>
  <si>
    <t>e_nom</t>
  </si>
  <si>
    <t>e_nom_mod</t>
  </si>
  <si>
    <t>e_nom_extendable</t>
  </si>
  <si>
    <t>e_nom_min</t>
  </si>
  <si>
    <t>e_nom_max</t>
  </si>
  <si>
    <t>e_min_pu</t>
  </si>
  <si>
    <t>e_max_pu</t>
  </si>
  <si>
    <t>e_initial</t>
  </si>
  <si>
    <t>e_initial_per_period</t>
  </si>
  <si>
    <t>e_cyclic</t>
  </si>
  <si>
    <t>e_cyclic_per_period</t>
  </si>
  <si>
    <t>e_nom_opt</t>
  </si>
  <si>
    <t>IT0 1</t>
  </si>
  <si>
    <t>IT0 2</t>
  </si>
  <si>
    <t>IT0 3</t>
  </si>
  <si>
    <t>IT0 1 H2</t>
  </si>
  <si>
    <t>IT0 2 H2</t>
  </si>
  <si>
    <t>IT0 3 H2</t>
  </si>
  <si>
    <t>IT0 1 battery</t>
  </si>
  <si>
    <t>IT0 2 battery</t>
  </si>
  <si>
    <t>IT0 3 battery</t>
  </si>
  <si>
    <t>r</t>
  </si>
  <si>
    <t>g</t>
  </si>
  <si>
    <t>b</t>
  </si>
  <si>
    <t>s_nom</t>
  </si>
  <si>
    <t>s_nom_mod</t>
  </si>
  <si>
    <t>s_nom_extendable</t>
  </si>
  <si>
    <t>s_nom_min</t>
  </si>
  <si>
    <t>s_nom_max</t>
  </si>
  <si>
    <t>s_nom_set</t>
  </si>
  <si>
    <t>s_max_pu</t>
  </si>
  <si>
    <t>num_parallel</t>
  </si>
  <si>
    <t>v_ang_min</t>
  </si>
  <si>
    <t>v_ang_max</t>
  </si>
  <si>
    <t>x_pu</t>
  </si>
  <si>
    <t>r_pu</t>
  </si>
  <si>
    <t>g_pu</t>
  </si>
  <si>
    <t>b_pu</t>
  </si>
  <si>
    <t>x_pu_eff</t>
  </si>
  <si>
    <t>r_pu_eff</t>
  </si>
  <si>
    <t>s_nom_opt</t>
  </si>
  <si>
    <t>i_nom</t>
  </si>
  <si>
    <t>Al/St 240/40 4-bundle 380.0</t>
  </si>
  <si>
    <t>Line</t>
  </si>
  <si>
    <t>p_nom_set</t>
  </si>
  <si>
    <t>IT0 1 CCGT</t>
  </si>
  <si>
    <t>IT0 1 biomass</t>
  </si>
  <si>
    <t>IT0 1 coal</t>
  </si>
  <si>
    <t>IT0 2 CCGT</t>
  </si>
  <si>
    <t>IT0 2 biomass</t>
  </si>
  <si>
    <t>IT0 2 coal</t>
  </si>
  <si>
    <t>IT0 3 CCGT</t>
  </si>
  <si>
    <t>IT0 3 coal</t>
  </si>
  <si>
    <t>IT0 1 0 solar-hsat</t>
  </si>
  <si>
    <t>IT0 2 0 solar-hsat</t>
  </si>
  <si>
    <t>IT0 3 0 solar-hsat</t>
  </si>
  <si>
    <t>IT0 1 0 solar</t>
  </si>
  <si>
    <t>IT0 2 0 solar</t>
  </si>
  <si>
    <t>IT0 3 0 solar</t>
  </si>
  <si>
    <t>IT0 1 0 offwind-ac</t>
  </si>
  <si>
    <t>IT0 2 0 offwind-ac</t>
  </si>
  <si>
    <t>IT0 3 0 offwind-ac</t>
  </si>
  <si>
    <t>IT0 1 0 onwind</t>
  </si>
  <si>
    <t>IT0 2 0 onwind</t>
  </si>
  <si>
    <t>IT0 3 0 onwind</t>
  </si>
  <si>
    <t>IT0 1 0 offwind-float</t>
  </si>
  <si>
    <t>IT0 2 0 offwind-float</t>
  </si>
  <si>
    <t>IT0 3 0 offwind-float</t>
  </si>
  <si>
    <t>IT0 2 0 offwind-dc</t>
  </si>
  <si>
    <t>IT0 3 0 offwind-dc</t>
  </si>
  <si>
    <t>IT0 1 ror</t>
  </si>
  <si>
    <t>IT0 2 ror</t>
  </si>
  <si>
    <t>IT0 3 ror</t>
  </si>
  <si>
    <t>TYNDP2024_1157</t>
  </si>
  <si>
    <t>in_permitting</t>
  </si>
  <si>
    <t>{name:HG North Tyrrhenian Corridor,url:{name:TYNDP2024_1157,url:https://eepublicdownloads.blob.core.windows.net/public-cdn-container/tyndp-documents/TYNDP2024/240220_TYNDP2024_project_portfolio.xlsx}}</t>
  </si>
  <si>
    <t>LINESTRING (9.409 45.553, 12.015 42.244)</t>
  </si>
  <si>
    <t>TYNDP2024_1166</t>
  </si>
  <si>
    <t>{name:HG Adriatic Corridor,url:{name:TYNDP2024_1166,url:https://eepublicdownloads.blob.core.windows.net/public-cdn-container/tyndp-documents/TYNDP2024/240220_TYNDP2024_project_portfolio.xlsx}}</t>
  </si>
  <si>
    <t>LINESTRING (11.661 44.855, 15.55 41.513)</t>
  </si>
  <si>
    <t>TYNDP2024_1168</t>
  </si>
  <si>
    <t>{name:HG Ionian-Tyrrhenian Corridor,url:{name:TYNDP2024_1168,url:https://eepublicdownloads.blob.core.windows.net/public-cdn-container/tyndp-documents/TYNDP2024/240220_TYNDP2024_project_portfolio.xlsx}}</t>
  </si>
  <si>
    <t>LINESTRING (16.629 39.568, 12.779 41.43)</t>
  </si>
  <si>
    <t>IT0 1 H2 Electrolysis</t>
  </si>
  <si>
    <t>IT0 2 H2 Electrolysis</t>
  </si>
  <si>
    <t>IT0 3 H2 Electrolysis</t>
  </si>
  <si>
    <t>IT0 1 H2 Fuel Cell</t>
  </si>
  <si>
    <t>IT0 2 H2 Fuel Cell</t>
  </si>
  <si>
    <t>IT0 3 H2 Fuel Cell</t>
  </si>
  <si>
    <t>IT0 1 battery charger</t>
  </si>
  <si>
    <t>IT0 2 battery charger</t>
  </si>
  <si>
    <t>IT0 3 battery charger</t>
  </si>
  <si>
    <t>IT0 1 battery discharger</t>
  </si>
  <si>
    <t>IT0 2 battery discharger</t>
  </si>
  <si>
    <t>IT0 3 battery discharger</t>
  </si>
  <si>
    <t>p_dispatch_set</t>
  </si>
  <si>
    <t>p_store_set</t>
  </si>
  <si>
    <t>IT0 1 PHS</t>
  </si>
  <si>
    <t>IT0 2 PHS</t>
  </si>
  <si>
    <t>IT0 3 PHS</t>
  </si>
  <si>
    <t>IT0 1 hydro</t>
  </si>
  <si>
    <t>IT0 2 hydro</t>
  </si>
  <si>
    <t>IT0 3 hydro</t>
  </si>
  <si>
    <t>e_nom_set</t>
  </si>
  <si>
    <t>e_set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</si>
</sst>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Views>
    <sheetView workbookViewId="0">
      <selection sqref="A1:F24"/>
    </sheetView>
  </sheetViews>
  <sheetFormatPr defaultRowHeight="14.4" x14ac:dyDescent="0.3"/>
  <sheetData>
    <row r="1" spans="1:6" x14ac:dyDescent="0.3">
      <c r="A1" t="s">
        <v>0</v>
      </c>
      <c r="B1" t="s">
        <v>1</v>
      </c>
      <c r="C1" t="s">
        <v>2</v>
      </c>
      <c r="D1" t="s">
        <v>3</v>
      </c>
      <c r="E1" t="s">
        <v>4</v>
      </c>
      <c r="F1" t="s">
        <v>5</v>
      </c>
    </row>
    <row r="2" spans="1:6" x14ac:dyDescent="0.3">
      <c r="A2" t="s">
        <v>6</v>
      </c>
      <c r="B2">
        <v>0</v>
      </c>
      <c r="C2" t="s">
        <v>7</v>
      </c>
      <c r="D2" t="s">
        <v>6</v>
      </c>
      <c r="E2" t="s">
        <v>8</v>
      </c>
      <c r="F2">
        <v>0</v>
      </c>
    </row>
    <row r="3" spans="1:6" x14ac:dyDescent="0.3">
      <c r="A3" t="s">
        <v>9</v>
      </c>
      <c r="B3">
        <v>0</v>
      </c>
      <c r="C3" t="s">
        <v>10</v>
      </c>
      <c r="D3" t="s">
        <v>9</v>
      </c>
      <c r="E3" t="s">
        <v>8</v>
      </c>
      <c r="F3">
        <v>0</v>
      </c>
    </row>
    <row r="4" spans="1:6" x14ac:dyDescent="0.3">
      <c r="A4" t="s">
        <v>11</v>
      </c>
      <c r="B4">
        <v>0</v>
      </c>
      <c r="C4" t="s">
        <v>12</v>
      </c>
      <c r="D4" t="s">
        <v>11</v>
      </c>
      <c r="E4" t="s">
        <v>8</v>
      </c>
      <c r="F4">
        <v>0</v>
      </c>
    </row>
    <row r="5" spans="1:6" x14ac:dyDescent="0.3">
      <c r="A5" t="s">
        <v>13</v>
      </c>
      <c r="B5">
        <v>0.12</v>
      </c>
      <c r="C5" t="s">
        <v>14</v>
      </c>
      <c r="D5" t="s">
        <v>13</v>
      </c>
      <c r="E5" t="s">
        <v>8</v>
      </c>
      <c r="F5">
        <v>0</v>
      </c>
    </row>
    <row r="6" spans="1:6" x14ac:dyDescent="0.3">
      <c r="A6" t="s">
        <v>15</v>
      </c>
      <c r="B6">
        <v>0.19800000000000001</v>
      </c>
      <c r="C6" t="s">
        <v>16</v>
      </c>
      <c r="D6" t="s">
        <v>17</v>
      </c>
      <c r="E6" t="s">
        <v>8</v>
      </c>
      <c r="F6">
        <v>0</v>
      </c>
    </row>
    <row r="7" spans="1:6" x14ac:dyDescent="0.3">
      <c r="A7" t="s">
        <v>18</v>
      </c>
      <c r="B7">
        <v>0.33610000000000001</v>
      </c>
      <c r="C7" t="s">
        <v>19</v>
      </c>
      <c r="D7" t="s">
        <v>18</v>
      </c>
      <c r="E7" t="s">
        <v>8</v>
      </c>
      <c r="F7">
        <v>0</v>
      </c>
    </row>
    <row r="8" spans="1:6" x14ac:dyDescent="0.3">
      <c r="A8" t="s">
        <v>20</v>
      </c>
      <c r="B8">
        <v>0.2571</v>
      </c>
      <c r="C8" t="s">
        <v>21</v>
      </c>
      <c r="D8" t="s">
        <v>20</v>
      </c>
      <c r="E8" t="s">
        <v>8</v>
      </c>
      <c r="F8">
        <v>0</v>
      </c>
    </row>
    <row r="9" spans="1:6" x14ac:dyDescent="0.3">
      <c r="A9" t="s">
        <v>22</v>
      </c>
      <c r="B9">
        <v>0</v>
      </c>
      <c r="C9" t="s">
        <v>23</v>
      </c>
      <c r="D9" t="s">
        <v>24</v>
      </c>
      <c r="E9" t="s">
        <v>8</v>
      </c>
      <c r="F9">
        <v>0</v>
      </c>
    </row>
    <row r="10" spans="1:6" x14ac:dyDescent="0.3">
      <c r="A10" t="s">
        <v>25</v>
      </c>
      <c r="B10">
        <v>0</v>
      </c>
      <c r="C10" t="s">
        <v>26</v>
      </c>
      <c r="D10" t="s">
        <v>27</v>
      </c>
      <c r="E10" t="s">
        <v>8</v>
      </c>
      <c r="F10">
        <v>0</v>
      </c>
    </row>
    <row r="11" spans="1:6" x14ac:dyDescent="0.3">
      <c r="A11" t="s">
        <v>28</v>
      </c>
      <c r="B11">
        <v>0</v>
      </c>
      <c r="C11" t="s">
        <v>29</v>
      </c>
      <c r="D11" t="s">
        <v>30</v>
      </c>
      <c r="E11" t="s">
        <v>8</v>
      </c>
      <c r="F11">
        <v>0</v>
      </c>
    </row>
    <row r="12" spans="1:6" x14ac:dyDescent="0.3">
      <c r="A12" t="s">
        <v>31</v>
      </c>
      <c r="B12">
        <v>0</v>
      </c>
      <c r="C12" t="s">
        <v>32</v>
      </c>
      <c r="D12" t="s">
        <v>33</v>
      </c>
      <c r="E12" t="s">
        <v>8</v>
      </c>
      <c r="F12">
        <v>0</v>
      </c>
    </row>
    <row r="13" spans="1:6" x14ac:dyDescent="0.3">
      <c r="A13" t="s">
        <v>34</v>
      </c>
      <c r="B13">
        <v>0</v>
      </c>
      <c r="C13" t="s">
        <v>35</v>
      </c>
      <c r="D13" t="s">
        <v>34</v>
      </c>
      <c r="E13" t="s">
        <v>8</v>
      </c>
      <c r="F13">
        <v>0</v>
      </c>
    </row>
    <row r="14" spans="1:6" x14ac:dyDescent="0.3">
      <c r="A14" t="s">
        <v>36</v>
      </c>
      <c r="B14">
        <v>0</v>
      </c>
      <c r="C14" t="s">
        <v>37</v>
      </c>
      <c r="D14" t="s">
        <v>38</v>
      </c>
      <c r="E14" t="s">
        <v>8</v>
      </c>
      <c r="F14">
        <v>0</v>
      </c>
    </row>
    <row r="15" spans="1:6" x14ac:dyDescent="0.3">
      <c r="A15" t="s">
        <v>39</v>
      </c>
      <c r="B15">
        <v>0</v>
      </c>
      <c r="C15" t="s">
        <v>40</v>
      </c>
      <c r="D15" t="s">
        <v>41</v>
      </c>
      <c r="E15" t="s">
        <v>8</v>
      </c>
      <c r="F15">
        <v>0</v>
      </c>
    </row>
    <row r="16" spans="1:6" x14ac:dyDescent="0.3">
      <c r="A16" t="s">
        <v>42</v>
      </c>
      <c r="B16">
        <v>0</v>
      </c>
      <c r="C16" t="s">
        <v>43</v>
      </c>
      <c r="D16" t="s">
        <v>44</v>
      </c>
      <c r="E16" t="s">
        <v>8</v>
      </c>
      <c r="F16">
        <v>0</v>
      </c>
    </row>
    <row r="17" spans="1:6" x14ac:dyDescent="0.3">
      <c r="A17" t="s">
        <v>45</v>
      </c>
      <c r="B17">
        <v>0</v>
      </c>
      <c r="C17" t="s">
        <v>46</v>
      </c>
      <c r="D17" t="s">
        <v>47</v>
      </c>
      <c r="E17" t="s">
        <v>8</v>
      </c>
      <c r="F17">
        <v>0</v>
      </c>
    </row>
    <row r="18" spans="1:6" x14ac:dyDescent="0.3">
      <c r="A18" t="s">
        <v>48</v>
      </c>
      <c r="B18">
        <v>0</v>
      </c>
      <c r="C18" t="s">
        <v>49</v>
      </c>
      <c r="D18" t="s">
        <v>50</v>
      </c>
      <c r="E18" t="s">
        <v>8</v>
      </c>
      <c r="F18">
        <v>0</v>
      </c>
    </row>
    <row r="19" spans="1:6" x14ac:dyDescent="0.3">
      <c r="A19" t="s">
        <v>51</v>
      </c>
      <c r="B19">
        <v>0</v>
      </c>
      <c r="C19" t="s">
        <v>52</v>
      </c>
      <c r="D19" t="s">
        <v>53</v>
      </c>
      <c r="E19" t="s">
        <v>8</v>
      </c>
      <c r="F19">
        <v>0</v>
      </c>
    </row>
    <row r="20" spans="1:6" x14ac:dyDescent="0.3">
      <c r="A20" t="s">
        <v>54</v>
      </c>
      <c r="B20">
        <v>0</v>
      </c>
      <c r="C20" t="s">
        <v>55</v>
      </c>
      <c r="D20" t="s">
        <v>54</v>
      </c>
      <c r="E20" t="s">
        <v>8</v>
      </c>
      <c r="F20">
        <v>0</v>
      </c>
    </row>
    <row r="21" spans="1:6" x14ac:dyDescent="0.3">
      <c r="A21" t="s">
        <v>56</v>
      </c>
      <c r="B21">
        <v>0</v>
      </c>
      <c r="C21" t="s">
        <v>57</v>
      </c>
      <c r="D21" t="s">
        <v>56</v>
      </c>
      <c r="E21" t="s">
        <v>8</v>
      </c>
      <c r="F21">
        <v>0</v>
      </c>
    </row>
    <row r="22" spans="1:6" x14ac:dyDescent="0.3">
      <c r="B22">
        <v>0</v>
      </c>
      <c r="E22" t="s">
        <v>8</v>
      </c>
      <c r="F22">
        <v>0</v>
      </c>
    </row>
    <row r="23" spans="1:6" x14ac:dyDescent="0.3">
      <c r="A23" t="s">
        <v>58</v>
      </c>
      <c r="B23">
        <v>0</v>
      </c>
      <c r="C23" t="s">
        <v>59</v>
      </c>
      <c r="D23" t="s">
        <v>58</v>
      </c>
      <c r="E23" t="s">
        <v>8</v>
      </c>
      <c r="F23">
        <v>0</v>
      </c>
    </row>
    <row r="24" spans="1:6" x14ac:dyDescent="0.3">
      <c r="A24" t="s">
        <v>60</v>
      </c>
      <c r="B24">
        <v>0</v>
      </c>
      <c r="C24" t="s">
        <v>61</v>
      </c>
      <c r="D24" t="s">
        <v>60</v>
      </c>
      <c r="E24" t="s">
        <v>8</v>
      </c>
      <c r="F24">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
  <sheetViews>
    <sheetView workbookViewId="0">
      <selection activeCell="A2" sqref="A2:XFD2"/>
    </sheetView>
  </sheetViews>
  <sheetFormatPr defaultRowHeight="14.4" x14ac:dyDescent="0.3"/>
  <sheetData>
    <row r="1" spans="1:17" x14ac:dyDescent="0.3">
      <c r="A1" t="s">
        <v>62</v>
      </c>
      <c r="B1" t="s">
        <v>63</v>
      </c>
      <c r="C1" t="s">
        <v>64</v>
      </c>
      <c r="D1" t="s">
        <v>65</v>
      </c>
      <c r="E1" t="s">
        <v>66</v>
      </c>
      <c r="F1" t="s">
        <v>67</v>
      </c>
      <c r="G1" t="s">
        <v>68</v>
      </c>
      <c r="H1" t="s">
        <v>69</v>
      </c>
      <c r="I1" t="s">
        <v>70</v>
      </c>
      <c r="J1" t="s">
        <v>71</v>
      </c>
      <c r="K1" t="s">
        <v>72</v>
      </c>
      <c r="L1" t="s">
        <v>73</v>
      </c>
      <c r="M1" t="s">
        <v>74</v>
      </c>
      <c r="N1" t="s">
        <v>75</v>
      </c>
      <c r="O1" t="s">
        <v>76</v>
      </c>
      <c r="P1" t="s">
        <v>77</v>
      </c>
      <c r="Q1" t="s">
        <v>78</v>
      </c>
    </row>
    <row r="2" spans="1:17" x14ac:dyDescent="0.3">
      <c r="A2" t="s">
        <v>79</v>
      </c>
      <c r="B2">
        <v>380</v>
      </c>
      <c r="D2">
        <v>13.874073252058</v>
      </c>
      <c r="E2">
        <v>41.556246456803798</v>
      </c>
      <c r="F2" t="s">
        <v>6</v>
      </c>
      <c r="I2">
        <v>1</v>
      </c>
      <c r="J2">
        <v>0</v>
      </c>
      <c r="K2" t="s">
        <v>8</v>
      </c>
      <c r="L2" t="s">
        <v>80</v>
      </c>
      <c r="O2" t="s">
        <v>81</v>
      </c>
      <c r="P2">
        <v>1</v>
      </c>
      <c r="Q2">
        <v>1</v>
      </c>
    </row>
    <row r="3" spans="1:17" x14ac:dyDescent="0.3">
      <c r="A3" t="s">
        <v>201</v>
      </c>
      <c r="B3">
        <v>380</v>
      </c>
      <c r="D3">
        <v>8.7419098672860507</v>
      </c>
      <c r="E3">
        <v>45.231677299433997</v>
      </c>
      <c r="F3" t="s">
        <v>6</v>
      </c>
      <c r="I3">
        <v>1</v>
      </c>
      <c r="J3">
        <v>0</v>
      </c>
      <c r="K3" t="s">
        <v>8</v>
      </c>
      <c r="L3" t="s">
        <v>84</v>
      </c>
      <c r="O3" t="s">
        <v>81</v>
      </c>
      <c r="P3">
        <v>1</v>
      </c>
      <c r="Q3">
        <v>1</v>
      </c>
    </row>
    <row r="4" spans="1:17" x14ac:dyDescent="0.3">
      <c r="A4" t="s">
        <v>202</v>
      </c>
      <c r="B4">
        <v>380</v>
      </c>
      <c r="D4">
        <v>11.3976318825402</v>
      </c>
      <c r="E4">
        <v>45.494334745519701</v>
      </c>
      <c r="F4" t="s">
        <v>6</v>
      </c>
      <c r="I4">
        <v>1</v>
      </c>
      <c r="J4">
        <v>0</v>
      </c>
      <c r="K4" t="s">
        <v>8</v>
      </c>
      <c r="L4" t="s">
        <v>84</v>
      </c>
      <c r="O4" t="s">
        <v>81</v>
      </c>
      <c r="P4">
        <v>1</v>
      </c>
      <c r="Q4">
        <v>1</v>
      </c>
    </row>
    <row r="5" spans="1:17" x14ac:dyDescent="0.3">
      <c r="A5" t="s">
        <v>203</v>
      </c>
      <c r="B5">
        <v>380</v>
      </c>
      <c r="D5">
        <v>15.6296065727498</v>
      </c>
      <c r="E5">
        <v>39.177090900908397</v>
      </c>
      <c r="F5" t="s">
        <v>6</v>
      </c>
      <c r="I5">
        <v>1</v>
      </c>
      <c r="J5">
        <v>0</v>
      </c>
      <c r="K5" t="s">
        <v>8</v>
      </c>
      <c r="L5" t="s">
        <v>84</v>
      </c>
      <c r="O5" t="s">
        <v>81</v>
      </c>
      <c r="P5">
        <v>1</v>
      </c>
      <c r="Q5">
        <v>1</v>
      </c>
    </row>
    <row r="6" spans="1:17" x14ac:dyDescent="0.3">
      <c r="A6" t="s">
        <v>82</v>
      </c>
      <c r="B6">
        <v>380</v>
      </c>
      <c r="D6">
        <v>8.7398246778425897</v>
      </c>
      <c r="E6">
        <v>40.032889929774797</v>
      </c>
      <c r="F6" t="s">
        <v>6</v>
      </c>
      <c r="I6">
        <v>1</v>
      </c>
      <c r="J6">
        <v>0</v>
      </c>
      <c r="K6" t="s">
        <v>8</v>
      </c>
      <c r="L6" t="s">
        <v>80</v>
      </c>
      <c r="O6" t="s">
        <v>81</v>
      </c>
      <c r="P6">
        <v>1</v>
      </c>
      <c r="Q6">
        <v>1</v>
      </c>
    </row>
    <row r="7" spans="1:17" x14ac:dyDescent="0.3">
      <c r="A7" t="s">
        <v>83</v>
      </c>
      <c r="B7">
        <v>1</v>
      </c>
      <c r="D7">
        <v>13.874073252058</v>
      </c>
      <c r="E7">
        <v>41.556246456803798</v>
      </c>
      <c r="F7" t="s">
        <v>51</v>
      </c>
      <c r="H7" t="s">
        <v>79</v>
      </c>
      <c r="I7">
        <v>1</v>
      </c>
      <c r="J7">
        <v>0</v>
      </c>
      <c r="K7" t="s">
        <v>8</v>
      </c>
      <c r="L7" t="s">
        <v>84</v>
      </c>
      <c r="O7" t="s">
        <v>81</v>
      </c>
    </row>
    <row r="8" spans="1:17" x14ac:dyDescent="0.3">
      <c r="A8" t="s">
        <v>204</v>
      </c>
      <c r="B8">
        <v>1</v>
      </c>
      <c r="D8">
        <v>8.7419098672860507</v>
      </c>
      <c r="E8">
        <v>45.231677299433997</v>
      </c>
      <c r="F8" t="s">
        <v>51</v>
      </c>
      <c r="H8" t="s">
        <v>201</v>
      </c>
      <c r="I8">
        <v>1</v>
      </c>
      <c r="J8">
        <v>0</v>
      </c>
      <c r="K8" t="s">
        <v>8</v>
      </c>
      <c r="L8" t="s">
        <v>84</v>
      </c>
      <c r="O8" t="s">
        <v>81</v>
      </c>
    </row>
    <row r="9" spans="1:17" x14ac:dyDescent="0.3">
      <c r="A9" t="s">
        <v>205</v>
      </c>
      <c r="B9">
        <v>1</v>
      </c>
      <c r="D9">
        <v>11.3976318825402</v>
      </c>
      <c r="E9">
        <v>45.494334745519701</v>
      </c>
      <c r="F9" t="s">
        <v>51</v>
      </c>
      <c r="H9" t="s">
        <v>202</v>
      </c>
      <c r="I9">
        <v>1</v>
      </c>
      <c r="J9">
        <v>0</v>
      </c>
      <c r="K9" t="s">
        <v>8</v>
      </c>
      <c r="L9" t="s">
        <v>84</v>
      </c>
      <c r="O9" t="s">
        <v>81</v>
      </c>
    </row>
    <row r="10" spans="1:17" x14ac:dyDescent="0.3">
      <c r="A10" t="s">
        <v>206</v>
      </c>
      <c r="B10">
        <v>1</v>
      </c>
      <c r="D10">
        <v>15.6296065727498</v>
      </c>
      <c r="E10">
        <v>39.177090900908397</v>
      </c>
      <c r="F10" t="s">
        <v>51</v>
      </c>
      <c r="H10" t="s">
        <v>203</v>
      </c>
      <c r="I10">
        <v>1</v>
      </c>
      <c r="J10">
        <v>0</v>
      </c>
      <c r="K10" t="s">
        <v>8</v>
      </c>
      <c r="L10" t="s">
        <v>84</v>
      </c>
      <c r="O10" t="s">
        <v>81</v>
      </c>
    </row>
    <row r="11" spans="1:17" x14ac:dyDescent="0.3">
      <c r="A11" t="s">
        <v>85</v>
      </c>
      <c r="B11">
        <v>1</v>
      </c>
      <c r="D11">
        <v>8.7398246778425897</v>
      </c>
      <c r="E11">
        <v>40.032889929774797</v>
      </c>
      <c r="F11" t="s">
        <v>51</v>
      </c>
      <c r="H11" t="s">
        <v>82</v>
      </c>
      <c r="I11">
        <v>1</v>
      </c>
      <c r="J11">
        <v>0</v>
      </c>
      <c r="K11" t="s">
        <v>8</v>
      </c>
      <c r="L11" t="s">
        <v>84</v>
      </c>
      <c r="O11" t="s">
        <v>81</v>
      </c>
    </row>
    <row r="12" spans="1:17" x14ac:dyDescent="0.3">
      <c r="A12" t="s">
        <v>86</v>
      </c>
      <c r="B12">
        <v>1</v>
      </c>
      <c r="D12">
        <v>13.874073252058</v>
      </c>
      <c r="E12">
        <v>41.556246456803798</v>
      </c>
      <c r="F12" t="s">
        <v>48</v>
      </c>
      <c r="H12" t="s">
        <v>79</v>
      </c>
      <c r="I12">
        <v>1</v>
      </c>
      <c r="J12">
        <v>0</v>
      </c>
      <c r="K12" t="s">
        <v>8</v>
      </c>
      <c r="L12" t="s">
        <v>84</v>
      </c>
      <c r="O12" t="s">
        <v>81</v>
      </c>
    </row>
    <row r="13" spans="1:17" x14ac:dyDescent="0.3">
      <c r="A13" t="s">
        <v>207</v>
      </c>
      <c r="B13">
        <v>1</v>
      </c>
      <c r="D13">
        <v>8.7419098672860507</v>
      </c>
      <c r="E13">
        <v>45.231677299433997</v>
      </c>
      <c r="F13" t="s">
        <v>48</v>
      </c>
      <c r="H13" t="s">
        <v>201</v>
      </c>
      <c r="I13">
        <v>1</v>
      </c>
      <c r="J13">
        <v>0</v>
      </c>
      <c r="K13" t="s">
        <v>8</v>
      </c>
      <c r="L13" t="s">
        <v>84</v>
      </c>
      <c r="O13" t="s">
        <v>81</v>
      </c>
    </row>
    <row r="14" spans="1:17" x14ac:dyDescent="0.3">
      <c r="A14" t="s">
        <v>208</v>
      </c>
      <c r="B14">
        <v>1</v>
      </c>
      <c r="D14">
        <v>11.3976318825402</v>
      </c>
      <c r="E14">
        <v>45.494334745519701</v>
      </c>
      <c r="F14" t="s">
        <v>48</v>
      </c>
      <c r="H14" t="s">
        <v>202</v>
      </c>
      <c r="I14">
        <v>1</v>
      </c>
      <c r="J14">
        <v>0</v>
      </c>
      <c r="K14" t="s">
        <v>8</v>
      </c>
      <c r="L14" t="s">
        <v>84</v>
      </c>
      <c r="O14" t="s">
        <v>81</v>
      </c>
    </row>
    <row r="15" spans="1:17" x14ac:dyDescent="0.3">
      <c r="A15" t="s">
        <v>209</v>
      </c>
      <c r="B15">
        <v>1</v>
      </c>
      <c r="D15">
        <v>15.6296065727498</v>
      </c>
      <c r="E15">
        <v>39.177090900908397</v>
      </c>
      <c r="F15" t="s">
        <v>48</v>
      </c>
      <c r="H15" t="s">
        <v>203</v>
      </c>
      <c r="I15">
        <v>1</v>
      </c>
      <c r="J15">
        <v>0</v>
      </c>
      <c r="K15" t="s">
        <v>8</v>
      </c>
      <c r="L15" t="s">
        <v>84</v>
      </c>
      <c r="O15" t="s">
        <v>81</v>
      </c>
    </row>
    <row r="16" spans="1:17" x14ac:dyDescent="0.3">
      <c r="A16" t="s">
        <v>87</v>
      </c>
      <c r="B16">
        <v>1</v>
      </c>
      <c r="D16">
        <v>8.7398246778425897</v>
      </c>
      <c r="E16">
        <v>40.032889929774797</v>
      </c>
      <c r="F16" t="s">
        <v>48</v>
      </c>
      <c r="H16" t="s">
        <v>82</v>
      </c>
      <c r="I16">
        <v>1</v>
      </c>
      <c r="J16">
        <v>0</v>
      </c>
      <c r="K16" t="s">
        <v>8</v>
      </c>
      <c r="L16" t="s">
        <v>84</v>
      </c>
      <c r="O16"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selection activeCell="A2" sqref="A2:XFD2"/>
    </sheetView>
  </sheetViews>
  <sheetFormatPr defaultRowHeight="14.4" x14ac:dyDescent="0.3"/>
  <sheetData>
    <row r="1" spans="1:8" x14ac:dyDescent="0.3">
      <c r="A1" t="s">
        <v>88</v>
      </c>
      <c r="B1" t="s">
        <v>89</v>
      </c>
      <c r="C1" t="s">
        <v>67</v>
      </c>
      <c r="D1" t="s">
        <v>64</v>
      </c>
      <c r="E1" t="s">
        <v>90</v>
      </c>
      <c r="F1" t="s">
        <v>91</v>
      </c>
      <c r="G1" t="s">
        <v>92</v>
      </c>
      <c r="H1" t="s">
        <v>93</v>
      </c>
    </row>
    <row r="2" spans="1:8" x14ac:dyDescent="0.3">
      <c r="A2" t="s">
        <v>79</v>
      </c>
      <c r="B2" t="s">
        <v>79</v>
      </c>
      <c r="E2">
        <v>0</v>
      </c>
      <c r="F2">
        <v>0</v>
      </c>
      <c r="G2">
        <v>-1</v>
      </c>
      <c r="H2" t="s">
        <v>94</v>
      </c>
    </row>
    <row r="3" spans="1:8" x14ac:dyDescent="0.3">
      <c r="A3" t="s">
        <v>201</v>
      </c>
      <c r="B3" t="s">
        <v>201</v>
      </c>
      <c r="E3">
        <v>0</v>
      </c>
      <c r="F3">
        <v>0</v>
      </c>
      <c r="G3">
        <v>-1</v>
      </c>
      <c r="H3" t="s">
        <v>94</v>
      </c>
    </row>
    <row r="4" spans="1:8" x14ac:dyDescent="0.3">
      <c r="A4" t="s">
        <v>202</v>
      </c>
      <c r="B4" t="s">
        <v>202</v>
      </c>
      <c r="E4">
        <v>0</v>
      </c>
      <c r="F4">
        <v>0</v>
      </c>
      <c r="G4">
        <v>-1</v>
      </c>
      <c r="H4" t="s">
        <v>94</v>
      </c>
    </row>
    <row r="5" spans="1:8" x14ac:dyDescent="0.3">
      <c r="A5" t="s">
        <v>203</v>
      </c>
      <c r="B5" t="s">
        <v>203</v>
      </c>
      <c r="E5">
        <v>0</v>
      </c>
      <c r="F5">
        <v>0</v>
      </c>
      <c r="G5">
        <v>-1</v>
      </c>
      <c r="H5" t="s">
        <v>94</v>
      </c>
    </row>
    <row r="6" spans="1:8" x14ac:dyDescent="0.3">
      <c r="A6" t="s">
        <v>82</v>
      </c>
      <c r="B6" t="s">
        <v>82</v>
      </c>
      <c r="E6">
        <v>0</v>
      </c>
      <c r="F6">
        <v>0</v>
      </c>
      <c r="G6">
        <v>-1</v>
      </c>
      <c r="H6" t="s">
        <v>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6"/>
  <sheetViews>
    <sheetView workbookViewId="0">
      <selection activeCell="A2" sqref="A2"/>
    </sheetView>
  </sheetViews>
  <sheetFormatPr defaultRowHeight="14.4" x14ac:dyDescent="0.3"/>
  <sheetData>
    <row r="1" spans="1:36" x14ac:dyDescent="0.3">
      <c r="A1" t="s">
        <v>232</v>
      </c>
      <c r="B1" t="s">
        <v>147</v>
      </c>
      <c r="C1" t="s">
        <v>148</v>
      </c>
      <c r="D1" t="s">
        <v>64</v>
      </c>
      <c r="E1" t="s">
        <v>65</v>
      </c>
      <c r="F1" t="s">
        <v>210</v>
      </c>
      <c r="G1" t="s">
        <v>211</v>
      </c>
      <c r="H1" t="s">
        <v>212</v>
      </c>
      <c r="I1" t="s">
        <v>213</v>
      </c>
      <c r="J1" t="s">
        <v>214</v>
      </c>
      <c r="K1" t="s">
        <v>215</v>
      </c>
      <c r="L1" t="s">
        <v>216</v>
      </c>
      <c r="M1" t="s">
        <v>217</v>
      </c>
      <c r="N1" t="s">
        <v>218</v>
      </c>
      <c r="O1" t="s">
        <v>219</v>
      </c>
      <c r="P1" t="s">
        <v>109</v>
      </c>
      <c r="Q1" t="s">
        <v>93</v>
      </c>
      <c r="R1" t="s">
        <v>107</v>
      </c>
      <c r="S1" t="s">
        <v>108</v>
      </c>
      <c r="T1" t="s">
        <v>149</v>
      </c>
      <c r="U1" t="s">
        <v>67</v>
      </c>
      <c r="V1" t="s">
        <v>150</v>
      </c>
      <c r="W1" t="s">
        <v>220</v>
      </c>
      <c r="X1" t="s">
        <v>221</v>
      </c>
      <c r="Y1" t="s">
        <v>222</v>
      </c>
      <c r="Z1" t="s">
        <v>75</v>
      </c>
      <c r="AA1" t="s">
        <v>223</v>
      </c>
      <c r="AB1" t="s">
        <v>224</v>
      </c>
      <c r="AC1" t="s">
        <v>225</v>
      </c>
      <c r="AD1" t="s">
        <v>226</v>
      </c>
      <c r="AE1" t="s">
        <v>227</v>
      </c>
      <c r="AF1" t="s">
        <v>228</v>
      </c>
      <c r="AG1" t="s">
        <v>229</v>
      </c>
      <c r="AH1" t="s">
        <v>63</v>
      </c>
      <c r="AI1" t="s">
        <v>153</v>
      </c>
      <c r="AJ1" t="s">
        <v>230</v>
      </c>
    </row>
    <row r="2" spans="1:36" x14ac:dyDescent="0.3">
      <c r="A2">
        <v>0</v>
      </c>
      <c r="B2" t="s">
        <v>79</v>
      </c>
      <c r="C2" t="s">
        <v>202</v>
      </c>
      <c r="D2" t="s">
        <v>231</v>
      </c>
      <c r="E2">
        <v>23.675160709664699</v>
      </c>
      <c r="F2">
        <v>2.8872145748496099</v>
      </c>
      <c r="G2">
        <v>0</v>
      </c>
      <c r="H2">
        <v>1.0431095032490499E-2</v>
      </c>
      <c r="I2">
        <v>8490.5130587026306</v>
      </c>
      <c r="J2">
        <v>0</v>
      </c>
      <c r="K2" t="s">
        <v>94</v>
      </c>
      <c r="L2">
        <v>8490.5130587026397</v>
      </c>
      <c r="M2">
        <v>28490.5130587026</v>
      </c>
      <c r="O2">
        <v>0.7</v>
      </c>
      <c r="P2">
        <v>20214.099334198301</v>
      </c>
      <c r="Q2" t="s">
        <v>94</v>
      </c>
      <c r="R2">
        <v>0</v>
      </c>
      <c r="S2" t="s">
        <v>8</v>
      </c>
      <c r="T2">
        <v>481.20245199440097</v>
      </c>
      <c r="U2" t="s">
        <v>6</v>
      </c>
      <c r="V2">
        <v>1</v>
      </c>
      <c r="W2">
        <v>5</v>
      </c>
      <c r="X2" t="e">
        <f>-inf</f>
        <v>#NAME?</v>
      </c>
      <c r="Y2" t="s">
        <v>8</v>
      </c>
      <c r="AA2">
        <v>0</v>
      </c>
      <c r="AB2">
        <v>0</v>
      </c>
      <c r="AC2">
        <v>0</v>
      </c>
      <c r="AD2">
        <v>0</v>
      </c>
      <c r="AE2">
        <v>0</v>
      </c>
      <c r="AF2">
        <v>0</v>
      </c>
      <c r="AG2">
        <v>0</v>
      </c>
      <c r="AH2">
        <v>380</v>
      </c>
      <c r="AI2">
        <v>0</v>
      </c>
      <c r="AJ2">
        <v>2.58</v>
      </c>
    </row>
    <row r="3" spans="1:36" x14ac:dyDescent="0.3">
      <c r="A3">
        <v>1</v>
      </c>
      <c r="B3" t="s">
        <v>79</v>
      </c>
      <c r="C3" t="s">
        <v>203</v>
      </c>
      <c r="D3" t="s">
        <v>231</v>
      </c>
      <c r="E3">
        <v>11.2524137090114</v>
      </c>
      <c r="F3">
        <v>1.5173721904310999</v>
      </c>
      <c r="G3">
        <v>0</v>
      </c>
      <c r="H3">
        <v>8.9618781837658406E-3</v>
      </c>
      <c r="I3">
        <v>9473.6250970787296</v>
      </c>
      <c r="J3">
        <v>0</v>
      </c>
      <c r="K3" t="s">
        <v>94</v>
      </c>
      <c r="L3">
        <v>9473.6250970787296</v>
      </c>
      <c r="M3">
        <v>29473.6250970787</v>
      </c>
      <c r="O3">
        <v>0.7</v>
      </c>
      <c r="P3">
        <v>12748.195525351</v>
      </c>
      <c r="Q3" t="s">
        <v>94</v>
      </c>
      <c r="R3">
        <v>0</v>
      </c>
      <c r="S3" t="s">
        <v>8</v>
      </c>
      <c r="T3">
        <v>303.474463238868</v>
      </c>
      <c r="U3" t="s">
        <v>6</v>
      </c>
      <c r="V3">
        <v>1</v>
      </c>
      <c r="W3">
        <v>5.5789473684210504</v>
      </c>
      <c r="X3" t="e">
        <f>-inf</f>
        <v>#NAME?</v>
      </c>
      <c r="Y3" t="s">
        <v>8</v>
      </c>
      <c r="AA3">
        <v>0</v>
      </c>
      <c r="AB3">
        <v>0</v>
      </c>
      <c r="AC3">
        <v>0</v>
      </c>
      <c r="AD3">
        <v>0</v>
      </c>
      <c r="AE3">
        <v>0</v>
      </c>
      <c r="AF3">
        <v>0</v>
      </c>
      <c r="AG3">
        <v>0</v>
      </c>
      <c r="AH3">
        <v>380</v>
      </c>
      <c r="AI3">
        <v>0</v>
      </c>
      <c r="AJ3">
        <v>2.58</v>
      </c>
    </row>
    <row r="4" spans="1:36" x14ac:dyDescent="0.3">
      <c r="A4">
        <v>2</v>
      </c>
      <c r="B4" t="s">
        <v>79</v>
      </c>
      <c r="C4" t="s">
        <v>203</v>
      </c>
      <c r="D4" t="s">
        <v>231</v>
      </c>
      <c r="E4">
        <v>0</v>
      </c>
      <c r="F4">
        <v>0</v>
      </c>
      <c r="G4">
        <v>0</v>
      </c>
      <c r="H4">
        <v>0</v>
      </c>
      <c r="I4">
        <v>3396.21</v>
      </c>
      <c r="J4">
        <v>0</v>
      </c>
      <c r="K4" t="s">
        <v>94</v>
      </c>
      <c r="L4">
        <v>3396.21</v>
      </c>
      <c r="M4">
        <v>23396.21</v>
      </c>
      <c r="O4">
        <v>0.7</v>
      </c>
      <c r="P4">
        <v>12748.195525351</v>
      </c>
      <c r="Q4" t="s">
        <v>94</v>
      </c>
      <c r="R4">
        <v>2024</v>
      </c>
      <c r="S4" t="s">
        <v>8</v>
      </c>
      <c r="T4">
        <v>303.474463238868</v>
      </c>
      <c r="U4" t="s">
        <v>6</v>
      </c>
      <c r="V4">
        <v>1</v>
      </c>
      <c r="W4">
        <v>2.0000028128564802</v>
      </c>
      <c r="X4" t="e">
        <f>-inf</f>
        <v>#NAME?</v>
      </c>
      <c r="Y4" t="s">
        <v>8</v>
      </c>
      <c r="AA4">
        <v>0</v>
      </c>
      <c r="AB4">
        <v>0</v>
      </c>
      <c r="AC4">
        <v>0</v>
      </c>
      <c r="AD4">
        <v>0</v>
      </c>
      <c r="AE4">
        <v>0</v>
      </c>
      <c r="AF4">
        <v>0</v>
      </c>
      <c r="AG4">
        <v>0</v>
      </c>
      <c r="AH4">
        <v>380</v>
      </c>
      <c r="AJ4">
        <v>2.58</v>
      </c>
    </row>
    <row r="5" spans="1:36" x14ac:dyDescent="0.3">
      <c r="A5">
        <v>3</v>
      </c>
      <c r="B5" t="s">
        <v>79</v>
      </c>
      <c r="C5" t="s">
        <v>203</v>
      </c>
      <c r="D5" t="s">
        <v>231</v>
      </c>
      <c r="E5">
        <v>0</v>
      </c>
      <c r="F5">
        <v>0</v>
      </c>
      <c r="G5">
        <v>0</v>
      </c>
      <c r="H5">
        <v>0</v>
      </c>
      <c r="I5">
        <v>3396.21</v>
      </c>
      <c r="J5">
        <v>0</v>
      </c>
      <c r="K5" t="s">
        <v>94</v>
      </c>
      <c r="L5">
        <v>3396.21</v>
      </c>
      <c r="M5">
        <v>23396.21</v>
      </c>
      <c r="O5">
        <v>0.7</v>
      </c>
      <c r="P5">
        <v>12748.195525351</v>
      </c>
      <c r="Q5" t="s">
        <v>94</v>
      </c>
      <c r="R5">
        <v>2030</v>
      </c>
      <c r="S5" t="s">
        <v>8</v>
      </c>
      <c r="T5">
        <v>303.474463238868</v>
      </c>
      <c r="U5" t="s">
        <v>6</v>
      </c>
      <c r="V5">
        <v>1</v>
      </c>
      <c r="W5">
        <v>2.0000028128564802</v>
      </c>
      <c r="X5" t="e">
        <f>-inf</f>
        <v>#NAME?</v>
      </c>
      <c r="Y5" t="s">
        <v>8</v>
      </c>
      <c r="AA5">
        <v>0</v>
      </c>
      <c r="AB5">
        <v>0</v>
      </c>
      <c r="AC5">
        <v>0</v>
      </c>
      <c r="AD5">
        <v>0</v>
      </c>
      <c r="AE5">
        <v>0</v>
      </c>
      <c r="AF5">
        <v>0</v>
      </c>
      <c r="AG5">
        <v>0</v>
      </c>
      <c r="AH5">
        <v>380</v>
      </c>
      <c r="AJ5">
        <v>2.58</v>
      </c>
    </row>
    <row r="6" spans="1:36" x14ac:dyDescent="0.3">
      <c r="A6">
        <v>4</v>
      </c>
      <c r="B6" t="s">
        <v>201</v>
      </c>
      <c r="C6" t="s">
        <v>202</v>
      </c>
      <c r="D6" t="s">
        <v>231</v>
      </c>
      <c r="E6">
        <v>3.50125036488192</v>
      </c>
      <c r="F6">
        <v>0.50284557292786702</v>
      </c>
      <c r="G6">
        <v>0</v>
      </c>
      <c r="H6">
        <v>1.39345364882996E-2</v>
      </c>
      <c r="I6">
        <v>18723.815639981</v>
      </c>
      <c r="J6">
        <v>0</v>
      </c>
      <c r="K6" t="s">
        <v>94</v>
      </c>
      <c r="L6">
        <v>18723.815639981</v>
      </c>
      <c r="M6">
        <v>38723.815639981003</v>
      </c>
      <c r="O6">
        <v>0.7</v>
      </c>
      <c r="P6">
        <v>8801.3616370937907</v>
      </c>
      <c r="Q6" t="s">
        <v>94</v>
      </c>
      <c r="R6">
        <v>0</v>
      </c>
      <c r="S6" t="s">
        <v>8</v>
      </c>
      <c r="T6">
        <v>209.51894668360501</v>
      </c>
      <c r="U6" t="s">
        <v>6</v>
      </c>
      <c r="V6">
        <v>1</v>
      </c>
      <c r="W6">
        <v>11.0263157894736</v>
      </c>
      <c r="X6" t="e">
        <f>-inf</f>
        <v>#NAME?</v>
      </c>
      <c r="Y6" t="s">
        <v>8</v>
      </c>
      <c r="AA6">
        <v>0</v>
      </c>
      <c r="AB6">
        <v>0</v>
      </c>
      <c r="AC6">
        <v>0</v>
      </c>
      <c r="AD6">
        <v>0</v>
      </c>
      <c r="AE6">
        <v>0</v>
      </c>
      <c r="AF6">
        <v>0</v>
      </c>
      <c r="AG6">
        <v>0</v>
      </c>
      <c r="AH6">
        <v>380</v>
      </c>
      <c r="AI6">
        <v>0</v>
      </c>
      <c r="AJ6">
        <v>2.58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49"/>
  <sheetViews>
    <sheetView workbookViewId="0">
      <selection activeCell="A2" sqref="A2"/>
    </sheetView>
  </sheetViews>
  <sheetFormatPr defaultRowHeight="14.4" x14ac:dyDescent="0.3"/>
  <sheetData>
    <row r="1" spans="1:39" x14ac:dyDescent="0.3">
      <c r="A1" t="s">
        <v>95</v>
      </c>
      <c r="B1" t="s">
        <v>89</v>
      </c>
      <c r="C1" t="s">
        <v>73</v>
      </c>
      <c r="D1" t="s">
        <v>64</v>
      </c>
      <c r="E1" t="s">
        <v>96</v>
      </c>
      <c r="F1" t="s">
        <v>97</v>
      </c>
      <c r="G1" t="s">
        <v>98</v>
      </c>
      <c r="H1" t="s">
        <v>99</v>
      </c>
      <c r="I1" t="s">
        <v>100</v>
      </c>
      <c r="J1" t="s">
        <v>233</v>
      </c>
      <c r="K1" t="s">
        <v>101</v>
      </c>
      <c r="L1" t="s">
        <v>102</v>
      </c>
      <c r="M1" t="s">
        <v>90</v>
      </c>
      <c r="N1" t="s">
        <v>103</v>
      </c>
      <c r="O1" t="s">
        <v>104</v>
      </c>
      <c r="P1" t="s">
        <v>91</v>
      </c>
      <c r="Q1" t="s">
        <v>92</v>
      </c>
      <c r="R1" t="s">
        <v>67</v>
      </c>
      <c r="S1" t="s">
        <v>105</v>
      </c>
      <c r="T1" t="s">
        <v>106</v>
      </c>
      <c r="U1" t="s">
        <v>93</v>
      </c>
      <c r="V1" t="s">
        <v>107</v>
      </c>
      <c r="W1" t="s">
        <v>108</v>
      </c>
      <c r="X1" t="s">
        <v>109</v>
      </c>
      <c r="Y1" t="s">
        <v>110</v>
      </c>
      <c r="Z1" t="s">
        <v>111</v>
      </c>
      <c r="AA1" t="s">
        <v>112</v>
      </c>
      <c r="AB1" t="s">
        <v>113</v>
      </c>
      <c r="AC1" t="s">
        <v>114</v>
      </c>
      <c r="AD1" t="s">
        <v>115</v>
      </c>
      <c r="AE1" t="s">
        <v>116</v>
      </c>
      <c r="AF1" t="s">
        <v>117</v>
      </c>
      <c r="AG1" t="s">
        <v>118</v>
      </c>
      <c r="AH1" t="s">
        <v>119</v>
      </c>
      <c r="AI1" t="s">
        <v>120</v>
      </c>
      <c r="AJ1" t="s">
        <v>121</v>
      </c>
      <c r="AK1" t="s">
        <v>122</v>
      </c>
      <c r="AL1" t="s">
        <v>123</v>
      </c>
      <c r="AM1" t="s">
        <v>124</v>
      </c>
    </row>
    <row r="2" spans="1:39" x14ac:dyDescent="0.3">
      <c r="A2" t="s">
        <v>125</v>
      </c>
      <c r="B2" t="s">
        <v>79</v>
      </c>
      <c r="C2" t="s">
        <v>84</v>
      </c>
      <c r="E2">
        <v>9921.42</v>
      </c>
      <c r="F2">
        <v>0</v>
      </c>
      <c r="G2" t="s">
        <v>94</v>
      </c>
      <c r="H2">
        <v>9921.42</v>
      </c>
      <c r="I2" t="s">
        <v>8</v>
      </c>
      <c r="K2">
        <v>0</v>
      </c>
      <c r="L2">
        <v>1</v>
      </c>
      <c r="N2" t="e">
        <f>-inf</f>
        <v>#NAME?</v>
      </c>
      <c r="O2" t="s">
        <v>8</v>
      </c>
      <c r="P2">
        <v>0</v>
      </c>
      <c r="Q2">
        <v>1</v>
      </c>
      <c r="R2" t="s">
        <v>15</v>
      </c>
      <c r="S2">
        <v>49.629428600253803</v>
      </c>
      <c r="T2">
        <v>0</v>
      </c>
      <c r="U2" t="s">
        <v>94</v>
      </c>
      <c r="V2">
        <v>0</v>
      </c>
      <c r="W2" t="s">
        <v>8</v>
      </c>
      <c r="X2">
        <v>100158.998230274</v>
      </c>
      <c r="Y2">
        <v>0.55418710755431899</v>
      </c>
      <c r="Z2" t="s">
        <v>126</v>
      </c>
      <c r="AA2">
        <v>0</v>
      </c>
      <c r="AB2">
        <v>0</v>
      </c>
      <c r="AC2">
        <v>0</v>
      </c>
      <c r="AD2">
        <v>0</v>
      </c>
      <c r="AE2">
        <v>0</v>
      </c>
      <c r="AF2">
        <v>1</v>
      </c>
      <c r="AG2">
        <v>0</v>
      </c>
      <c r="AJ2">
        <v>1</v>
      </c>
      <c r="AK2">
        <v>1</v>
      </c>
      <c r="AL2">
        <v>1</v>
      </c>
      <c r="AM2">
        <v>0</v>
      </c>
    </row>
    <row r="3" spans="1:39" x14ac:dyDescent="0.3">
      <c r="A3" t="s">
        <v>127</v>
      </c>
      <c r="B3" t="s">
        <v>79</v>
      </c>
      <c r="C3" t="s">
        <v>84</v>
      </c>
      <c r="E3">
        <v>72</v>
      </c>
      <c r="F3">
        <v>0</v>
      </c>
      <c r="G3" t="s">
        <v>126</v>
      </c>
      <c r="H3">
        <v>72</v>
      </c>
      <c r="I3" t="s">
        <v>8</v>
      </c>
      <c r="K3">
        <v>0</v>
      </c>
      <c r="L3">
        <v>1</v>
      </c>
      <c r="N3" t="e">
        <f>-inf</f>
        <v>#NAME?</v>
      </c>
      <c r="O3" t="s">
        <v>8</v>
      </c>
      <c r="P3">
        <v>0</v>
      </c>
      <c r="Q3">
        <v>1</v>
      </c>
      <c r="R3" t="s">
        <v>11</v>
      </c>
      <c r="S3">
        <v>15.8282051282051</v>
      </c>
      <c r="T3">
        <v>0</v>
      </c>
      <c r="U3" t="s">
        <v>94</v>
      </c>
      <c r="V3">
        <v>0</v>
      </c>
      <c r="W3" t="s">
        <v>8</v>
      </c>
      <c r="X3">
        <v>294201.05117025401</v>
      </c>
      <c r="Y3">
        <v>0.46800000000000003</v>
      </c>
      <c r="Z3" t="s">
        <v>126</v>
      </c>
      <c r="AA3">
        <v>0</v>
      </c>
      <c r="AB3">
        <v>0</v>
      </c>
      <c r="AC3">
        <v>0</v>
      </c>
      <c r="AD3">
        <v>0</v>
      </c>
      <c r="AE3">
        <v>0</v>
      </c>
      <c r="AF3">
        <v>1</v>
      </c>
      <c r="AG3">
        <v>0</v>
      </c>
      <c r="AJ3">
        <v>1</v>
      </c>
      <c r="AK3">
        <v>1</v>
      </c>
      <c r="AL3">
        <v>1</v>
      </c>
      <c r="AM3">
        <v>0</v>
      </c>
    </row>
    <row r="4" spans="1:39" x14ac:dyDescent="0.3">
      <c r="A4" t="s">
        <v>128</v>
      </c>
      <c r="B4" t="s">
        <v>79</v>
      </c>
      <c r="C4" t="s">
        <v>84</v>
      </c>
      <c r="E4">
        <v>1963.72571747956</v>
      </c>
      <c r="F4">
        <v>0</v>
      </c>
      <c r="G4" t="s">
        <v>126</v>
      </c>
      <c r="H4">
        <v>1963.72571747956</v>
      </c>
      <c r="I4" t="s">
        <v>8</v>
      </c>
      <c r="K4">
        <v>0</v>
      </c>
      <c r="L4">
        <v>1</v>
      </c>
      <c r="N4" t="e">
        <f>-inf</f>
        <v>#NAME?</v>
      </c>
      <c r="O4" t="s">
        <v>8</v>
      </c>
      <c r="P4">
        <v>0</v>
      </c>
      <c r="Q4">
        <v>1</v>
      </c>
      <c r="R4" t="s">
        <v>18</v>
      </c>
      <c r="S4">
        <v>30.0988404494382</v>
      </c>
      <c r="T4">
        <v>0</v>
      </c>
      <c r="U4" t="s">
        <v>94</v>
      </c>
      <c r="V4">
        <v>0</v>
      </c>
      <c r="W4" t="s">
        <v>8</v>
      </c>
      <c r="X4">
        <v>337208.02744802902</v>
      </c>
      <c r="Y4">
        <v>0.35599999999999998</v>
      </c>
      <c r="Z4" t="s">
        <v>126</v>
      </c>
      <c r="AA4">
        <v>0</v>
      </c>
      <c r="AB4">
        <v>0</v>
      </c>
      <c r="AC4">
        <v>0</v>
      </c>
      <c r="AD4">
        <v>0</v>
      </c>
      <c r="AE4">
        <v>0</v>
      </c>
      <c r="AF4">
        <v>1</v>
      </c>
      <c r="AG4">
        <v>0</v>
      </c>
      <c r="AJ4">
        <v>1</v>
      </c>
      <c r="AK4">
        <v>1</v>
      </c>
      <c r="AL4">
        <v>1</v>
      </c>
      <c r="AM4">
        <v>0</v>
      </c>
    </row>
    <row r="5" spans="1:39" x14ac:dyDescent="0.3">
      <c r="A5" t="s">
        <v>129</v>
      </c>
      <c r="B5" t="s">
        <v>79</v>
      </c>
      <c r="C5" t="s">
        <v>84</v>
      </c>
      <c r="E5">
        <v>59</v>
      </c>
      <c r="F5">
        <v>0</v>
      </c>
      <c r="G5" t="s">
        <v>126</v>
      </c>
      <c r="H5">
        <v>59</v>
      </c>
      <c r="I5" t="s">
        <v>8</v>
      </c>
      <c r="K5">
        <v>0</v>
      </c>
      <c r="L5">
        <v>1</v>
      </c>
      <c r="N5" t="e">
        <f>-inf</f>
        <v>#NAME?</v>
      </c>
      <c r="O5" t="s">
        <v>8</v>
      </c>
      <c r="P5">
        <v>0</v>
      </c>
      <c r="Q5">
        <v>1</v>
      </c>
      <c r="R5" t="s">
        <v>13</v>
      </c>
      <c r="S5">
        <v>0</v>
      </c>
      <c r="T5">
        <v>0</v>
      </c>
      <c r="U5" t="s">
        <v>94</v>
      </c>
      <c r="V5">
        <v>0</v>
      </c>
      <c r="W5" t="s">
        <v>8</v>
      </c>
      <c r="X5">
        <v>0</v>
      </c>
      <c r="Y5">
        <v>1</v>
      </c>
      <c r="Z5" t="s">
        <v>126</v>
      </c>
      <c r="AA5">
        <v>0</v>
      </c>
      <c r="AB5">
        <v>0</v>
      </c>
      <c r="AC5">
        <v>0</v>
      </c>
      <c r="AD5">
        <v>0</v>
      </c>
      <c r="AE5">
        <v>0</v>
      </c>
      <c r="AF5">
        <v>1</v>
      </c>
      <c r="AG5">
        <v>0</v>
      </c>
      <c r="AJ5">
        <v>1</v>
      </c>
      <c r="AK5">
        <v>1</v>
      </c>
      <c r="AL5">
        <v>1</v>
      </c>
      <c r="AM5">
        <v>0</v>
      </c>
    </row>
    <row r="6" spans="1:39" x14ac:dyDescent="0.3">
      <c r="A6" t="s">
        <v>234</v>
      </c>
      <c r="B6" t="s">
        <v>201</v>
      </c>
      <c r="C6" t="s">
        <v>84</v>
      </c>
      <c r="E6">
        <v>11318.7</v>
      </c>
      <c r="F6">
        <v>0</v>
      </c>
      <c r="G6" t="s">
        <v>94</v>
      </c>
      <c r="H6">
        <v>11318.7</v>
      </c>
      <c r="I6" t="s">
        <v>8</v>
      </c>
      <c r="K6">
        <v>0</v>
      </c>
      <c r="L6">
        <v>1</v>
      </c>
      <c r="N6" t="e">
        <f>-inf</f>
        <v>#NAME?</v>
      </c>
      <c r="O6" t="s">
        <v>8</v>
      </c>
      <c r="P6">
        <v>0</v>
      </c>
      <c r="Q6">
        <v>1</v>
      </c>
      <c r="R6" t="s">
        <v>15</v>
      </c>
      <c r="S6">
        <v>58.796196378201202</v>
      </c>
      <c r="T6">
        <v>0</v>
      </c>
      <c r="U6" t="s">
        <v>94</v>
      </c>
      <c r="V6">
        <v>0</v>
      </c>
      <c r="W6" t="s">
        <v>8</v>
      </c>
      <c r="X6">
        <v>100158.998230274</v>
      </c>
      <c r="Y6">
        <v>0.52538373856653597</v>
      </c>
      <c r="Z6" t="s">
        <v>126</v>
      </c>
      <c r="AA6">
        <v>0</v>
      </c>
      <c r="AB6">
        <v>0</v>
      </c>
      <c r="AC6">
        <v>0</v>
      </c>
      <c r="AD6">
        <v>0</v>
      </c>
      <c r="AE6">
        <v>0</v>
      </c>
      <c r="AF6">
        <v>1</v>
      </c>
      <c r="AG6">
        <v>0</v>
      </c>
      <c r="AJ6">
        <v>1</v>
      </c>
      <c r="AK6">
        <v>1</v>
      </c>
      <c r="AL6">
        <v>1</v>
      </c>
      <c r="AM6">
        <v>0</v>
      </c>
    </row>
    <row r="7" spans="1:39" x14ac:dyDescent="0.3">
      <c r="A7" t="s">
        <v>235</v>
      </c>
      <c r="B7" t="s">
        <v>201</v>
      </c>
      <c r="C7" t="s">
        <v>84</v>
      </c>
      <c r="E7">
        <v>35</v>
      </c>
      <c r="F7">
        <v>0</v>
      </c>
      <c r="G7" t="s">
        <v>126</v>
      </c>
      <c r="H7">
        <v>35</v>
      </c>
      <c r="I7" t="s">
        <v>8</v>
      </c>
      <c r="K7">
        <v>0</v>
      </c>
      <c r="L7">
        <v>1</v>
      </c>
      <c r="N7" t="e">
        <f>-inf</f>
        <v>#NAME?</v>
      </c>
      <c r="O7" t="s">
        <v>8</v>
      </c>
      <c r="P7">
        <v>0</v>
      </c>
      <c r="Q7">
        <v>1</v>
      </c>
      <c r="R7" t="s">
        <v>11</v>
      </c>
      <c r="S7">
        <v>15.8282051282051</v>
      </c>
      <c r="T7">
        <v>0</v>
      </c>
      <c r="U7" t="s">
        <v>94</v>
      </c>
      <c r="V7">
        <v>0</v>
      </c>
      <c r="W7" t="s">
        <v>8</v>
      </c>
      <c r="X7">
        <v>294201.05117025401</v>
      </c>
      <c r="Y7">
        <v>0.46800000000000003</v>
      </c>
      <c r="Z7" t="s">
        <v>126</v>
      </c>
      <c r="AA7">
        <v>0</v>
      </c>
      <c r="AB7">
        <v>0</v>
      </c>
      <c r="AC7">
        <v>0</v>
      </c>
      <c r="AD7">
        <v>0</v>
      </c>
      <c r="AE7">
        <v>0</v>
      </c>
      <c r="AF7">
        <v>1</v>
      </c>
      <c r="AG7">
        <v>0</v>
      </c>
      <c r="AJ7">
        <v>1</v>
      </c>
      <c r="AK7">
        <v>1</v>
      </c>
      <c r="AL7">
        <v>1</v>
      </c>
      <c r="AM7">
        <v>0</v>
      </c>
    </row>
    <row r="8" spans="1:39" x14ac:dyDescent="0.3">
      <c r="A8" t="s">
        <v>236</v>
      </c>
      <c r="B8" t="s">
        <v>201</v>
      </c>
      <c r="C8" t="s">
        <v>84</v>
      </c>
      <c r="E8">
        <v>553.16217393790396</v>
      </c>
      <c r="F8">
        <v>0</v>
      </c>
      <c r="G8" t="s">
        <v>126</v>
      </c>
      <c r="H8">
        <v>553.16217393790396</v>
      </c>
      <c r="I8" t="s">
        <v>8</v>
      </c>
      <c r="K8">
        <v>0</v>
      </c>
      <c r="L8">
        <v>1</v>
      </c>
      <c r="N8" t="e">
        <f>-inf</f>
        <v>#NAME?</v>
      </c>
      <c r="O8" t="s">
        <v>8</v>
      </c>
      <c r="P8">
        <v>0</v>
      </c>
      <c r="Q8">
        <v>1</v>
      </c>
      <c r="R8" t="s">
        <v>18</v>
      </c>
      <c r="S8">
        <v>30.0988404494382</v>
      </c>
      <c r="T8">
        <v>0</v>
      </c>
      <c r="U8" t="s">
        <v>94</v>
      </c>
      <c r="V8">
        <v>0</v>
      </c>
      <c r="W8" t="s">
        <v>8</v>
      </c>
      <c r="X8">
        <v>337208.02744802902</v>
      </c>
      <c r="Y8">
        <v>0.35599999999999998</v>
      </c>
      <c r="Z8" t="s">
        <v>126</v>
      </c>
      <c r="AA8">
        <v>0</v>
      </c>
      <c r="AB8">
        <v>0</v>
      </c>
      <c r="AC8">
        <v>0</v>
      </c>
      <c r="AD8">
        <v>0</v>
      </c>
      <c r="AE8">
        <v>0</v>
      </c>
      <c r="AF8">
        <v>1</v>
      </c>
      <c r="AG8">
        <v>0</v>
      </c>
      <c r="AJ8">
        <v>1</v>
      </c>
      <c r="AK8">
        <v>1</v>
      </c>
      <c r="AL8">
        <v>1</v>
      </c>
      <c r="AM8">
        <v>0</v>
      </c>
    </row>
    <row r="9" spans="1:39" x14ac:dyDescent="0.3">
      <c r="A9" t="s">
        <v>237</v>
      </c>
      <c r="B9" t="s">
        <v>202</v>
      </c>
      <c r="C9" t="s">
        <v>84</v>
      </c>
      <c r="E9">
        <v>9649.9</v>
      </c>
      <c r="F9">
        <v>0</v>
      </c>
      <c r="G9" t="s">
        <v>94</v>
      </c>
      <c r="H9">
        <v>9649.9</v>
      </c>
      <c r="I9" t="s">
        <v>8</v>
      </c>
      <c r="K9">
        <v>0</v>
      </c>
      <c r="L9">
        <v>1</v>
      </c>
      <c r="N9" t="e">
        <f>-inf</f>
        <v>#NAME?</v>
      </c>
      <c r="O9" t="s">
        <v>8</v>
      </c>
      <c r="P9">
        <v>0</v>
      </c>
      <c r="Q9">
        <v>1</v>
      </c>
      <c r="R9" t="s">
        <v>15</v>
      </c>
      <c r="S9">
        <v>45.575239511611699</v>
      </c>
      <c r="T9">
        <v>0</v>
      </c>
      <c r="U9" t="s">
        <v>94</v>
      </c>
      <c r="V9">
        <v>0</v>
      </c>
      <c r="W9" t="s">
        <v>8</v>
      </c>
      <c r="X9">
        <v>100158.998230274</v>
      </c>
      <c r="Y9">
        <v>0.59464377869200702</v>
      </c>
      <c r="Z9" t="s">
        <v>126</v>
      </c>
      <c r="AA9">
        <v>0</v>
      </c>
      <c r="AB9">
        <v>0</v>
      </c>
      <c r="AC9">
        <v>0</v>
      </c>
      <c r="AD9">
        <v>0</v>
      </c>
      <c r="AE9">
        <v>0</v>
      </c>
      <c r="AF9">
        <v>1</v>
      </c>
      <c r="AG9">
        <v>0</v>
      </c>
      <c r="AJ9">
        <v>1</v>
      </c>
      <c r="AK9">
        <v>1</v>
      </c>
      <c r="AL9">
        <v>1</v>
      </c>
      <c r="AM9">
        <v>0</v>
      </c>
    </row>
    <row r="10" spans="1:39" x14ac:dyDescent="0.3">
      <c r="A10" t="s">
        <v>238</v>
      </c>
      <c r="B10" t="s">
        <v>202</v>
      </c>
      <c r="C10" t="s">
        <v>84</v>
      </c>
      <c r="E10">
        <v>81</v>
      </c>
      <c r="F10">
        <v>0</v>
      </c>
      <c r="G10" t="s">
        <v>126</v>
      </c>
      <c r="H10">
        <v>81</v>
      </c>
      <c r="I10" t="s">
        <v>8</v>
      </c>
      <c r="K10">
        <v>0</v>
      </c>
      <c r="L10">
        <v>1</v>
      </c>
      <c r="N10" t="e">
        <f>-inf</f>
        <v>#NAME?</v>
      </c>
      <c r="O10" t="s">
        <v>8</v>
      </c>
      <c r="P10">
        <v>0</v>
      </c>
      <c r="Q10">
        <v>1</v>
      </c>
      <c r="R10" t="s">
        <v>11</v>
      </c>
      <c r="S10">
        <v>15.8282051282051</v>
      </c>
      <c r="T10">
        <v>0</v>
      </c>
      <c r="U10" t="s">
        <v>94</v>
      </c>
      <c r="V10">
        <v>0</v>
      </c>
      <c r="W10" t="s">
        <v>8</v>
      </c>
      <c r="X10">
        <v>294201.05117025401</v>
      </c>
      <c r="Y10">
        <v>0.46800000000000003</v>
      </c>
      <c r="Z10" t="s">
        <v>126</v>
      </c>
      <c r="AA10">
        <v>0</v>
      </c>
      <c r="AB10">
        <v>0</v>
      </c>
      <c r="AC10">
        <v>0</v>
      </c>
      <c r="AD10">
        <v>0</v>
      </c>
      <c r="AE10">
        <v>0</v>
      </c>
      <c r="AF10">
        <v>1</v>
      </c>
      <c r="AG10">
        <v>0</v>
      </c>
      <c r="AJ10">
        <v>1</v>
      </c>
      <c r="AK10">
        <v>1</v>
      </c>
      <c r="AL10">
        <v>1</v>
      </c>
      <c r="AM10">
        <v>0</v>
      </c>
    </row>
    <row r="11" spans="1:39" x14ac:dyDescent="0.3">
      <c r="A11" t="s">
        <v>239</v>
      </c>
      <c r="B11" t="s">
        <v>202</v>
      </c>
      <c r="C11" t="s">
        <v>84</v>
      </c>
      <c r="E11">
        <v>1209.58128701088</v>
      </c>
      <c r="F11">
        <v>0</v>
      </c>
      <c r="G11" t="s">
        <v>126</v>
      </c>
      <c r="H11">
        <v>1209.58128701088</v>
      </c>
      <c r="I11" t="s">
        <v>8</v>
      </c>
      <c r="K11">
        <v>0</v>
      </c>
      <c r="L11">
        <v>1</v>
      </c>
      <c r="N11" t="e">
        <f>-inf</f>
        <v>#NAME?</v>
      </c>
      <c r="O11" t="s">
        <v>8</v>
      </c>
      <c r="P11">
        <v>0</v>
      </c>
      <c r="Q11">
        <v>1</v>
      </c>
      <c r="R11" t="s">
        <v>18</v>
      </c>
      <c r="S11">
        <v>30.0988404494382</v>
      </c>
      <c r="T11">
        <v>0</v>
      </c>
      <c r="U11" t="s">
        <v>94</v>
      </c>
      <c r="V11">
        <v>0</v>
      </c>
      <c r="W11" t="s">
        <v>8</v>
      </c>
      <c r="X11">
        <v>337208.02744802902</v>
      </c>
      <c r="Y11">
        <v>0.35599999999999998</v>
      </c>
      <c r="Z11" t="s">
        <v>126</v>
      </c>
      <c r="AA11">
        <v>0</v>
      </c>
      <c r="AB11">
        <v>0</v>
      </c>
      <c r="AC11">
        <v>0</v>
      </c>
      <c r="AD11">
        <v>0</v>
      </c>
      <c r="AE11">
        <v>0</v>
      </c>
      <c r="AF11">
        <v>1</v>
      </c>
      <c r="AG11">
        <v>0</v>
      </c>
      <c r="AJ11">
        <v>1</v>
      </c>
      <c r="AK11">
        <v>1</v>
      </c>
      <c r="AL11">
        <v>1</v>
      </c>
      <c r="AM11">
        <v>0</v>
      </c>
    </row>
    <row r="12" spans="1:39" x14ac:dyDescent="0.3">
      <c r="A12" t="s">
        <v>240</v>
      </c>
      <c r="B12" t="s">
        <v>203</v>
      </c>
      <c r="C12" t="s">
        <v>84</v>
      </c>
      <c r="E12">
        <v>9024.5</v>
      </c>
      <c r="F12">
        <v>0</v>
      </c>
      <c r="G12" t="s">
        <v>94</v>
      </c>
      <c r="H12">
        <v>9024.5</v>
      </c>
      <c r="I12" t="s">
        <v>8</v>
      </c>
      <c r="K12">
        <v>0</v>
      </c>
      <c r="L12">
        <v>1</v>
      </c>
      <c r="N12" t="e">
        <f>-inf</f>
        <v>#NAME?</v>
      </c>
      <c r="O12" t="s">
        <v>8</v>
      </c>
      <c r="P12">
        <v>0</v>
      </c>
      <c r="Q12">
        <v>1</v>
      </c>
      <c r="R12" t="s">
        <v>15</v>
      </c>
      <c r="S12">
        <v>52.824821424098197</v>
      </c>
      <c r="T12">
        <v>0</v>
      </c>
      <c r="U12" t="s">
        <v>94</v>
      </c>
      <c r="V12">
        <v>0</v>
      </c>
      <c r="W12" t="s">
        <v>8</v>
      </c>
      <c r="X12">
        <v>100158.998230274</v>
      </c>
      <c r="Y12">
        <v>0.56492556933993598</v>
      </c>
      <c r="Z12" t="s">
        <v>126</v>
      </c>
      <c r="AA12">
        <v>0</v>
      </c>
      <c r="AB12">
        <v>0</v>
      </c>
      <c r="AC12">
        <v>0</v>
      </c>
      <c r="AD12">
        <v>0</v>
      </c>
      <c r="AE12">
        <v>0</v>
      </c>
      <c r="AF12">
        <v>1</v>
      </c>
      <c r="AG12">
        <v>0</v>
      </c>
      <c r="AJ12">
        <v>1</v>
      </c>
      <c r="AK12">
        <v>1</v>
      </c>
      <c r="AL12">
        <v>1</v>
      </c>
      <c r="AM12">
        <v>0</v>
      </c>
    </row>
    <row r="13" spans="1:39" x14ac:dyDescent="0.3">
      <c r="A13" t="s">
        <v>241</v>
      </c>
      <c r="B13" t="s">
        <v>203</v>
      </c>
      <c r="C13" t="s">
        <v>84</v>
      </c>
      <c r="E13">
        <v>2415.4748261955101</v>
      </c>
      <c r="F13">
        <v>0</v>
      </c>
      <c r="G13" t="s">
        <v>126</v>
      </c>
      <c r="H13">
        <v>2415.4748261955101</v>
      </c>
      <c r="I13" t="s">
        <v>8</v>
      </c>
      <c r="K13">
        <v>0</v>
      </c>
      <c r="L13">
        <v>1</v>
      </c>
      <c r="N13" t="e">
        <f>-inf</f>
        <v>#NAME?</v>
      </c>
      <c r="O13" t="s">
        <v>8</v>
      </c>
      <c r="P13">
        <v>0</v>
      </c>
      <c r="Q13">
        <v>1</v>
      </c>
      <c r="R13" t="s">
        <v>18</v>
      </c>
      <c r="S13">
        <v>30.0988404494382</v>
      </c>
      <c r="T13">
        <v>0</v>
      </c>
      <c r="U13" t="s">
        <v>94</v>
      </c>
      <c r="V13">
        <v>0</v>
      </c>
      <c r="W13" t="s">
        <v>8</v>
      </c>
      <c r="X13">
        <v>337208.02744802902</v>
      </c>
      <c r="Y13">
        <v>0.35599999999999998</v>
      </c>
      <c r="Z13" t="s">
        <v>126</v>
      </c>
      <c r="AA13">
        <v>0</v>
      </c>
      <c r="AB13">
        <v>0</v>
      </c>
      <c r="AC13">
        <v>0</v>
      </c>
      <c r="AD13">
        <v>0</v>
      </c>
      <c r="AE13">
        <v>0</v>
      </c>
      <c r="AF13">
        <v>1</v>
      </c>
      <c r="AG13">
        <v>0</v>
      </c>
      <c r="AJ13">
        <v>1</v>
      </c>
      <c r="AK13">
        <v>1</v>
      </c>
      <c r="AL13">
        <v>1</v>
      </c>
      <c r="AM13">
        <v>0</v>
      </c>
    </row>
    <row r="14" spans="1:39" x14ac:dyDescent="0.3">
      <c r="A14" t="s">
        <v>130</v>
      </c>
      <c r="B14" t="s">
        <v>82</v>
      </c>
      <c r="C14" t="s">
        <v>84</v>
      </c>
      <c r="E14">
        <v>36</v>
      </c>
      <c r="F14">
        <v>0</v>
      </c>
      <c r="G14" t="s">
        <v>126</v>
      </c>
      <c r="H14">
        <v>36</v>
      </c>
      <c r="I14" t="s">
        <v>8</v>
      </c>
      <c r="K14">
        <v>0</v>
      </c>
      <c r="L14">
        <v>1</v>
      </c>
      <c r="N14" t="e">
        <f>-inf</f>
        <v>#NAME?</v>
      </c>
      <c r="O14" t="s">
        <v>8</v>
      </c>
      <c r="P14">
        <v>0</v>
      </c>
      <c r="Q14">
        <v>1</v>
      </c>
      <c r="R14" t="s">
        <v>11</v>
      </c>
      <c r="S14">
        <v>15.8282051282051</v>
      </c>
      <c r="T14">
        <v>0</v>
      </c>
      <c r="U14" t="s">
        <v>94</v>
      </c>
      <c r="V14">
        <v>0</v>
      </c>
      <c r="W14" t="s">
        <v>8</v>
      </c>
      <c r="X14">
        <v>294201.05117025401</v>
      </c>
      <c r="Y14">
        <v>0.46800000000000003</v>
      </c>
      <c r="Z14" t="s">
        <v>126</v>
      </c>
      <c r="AA14">
        <v>0</v>
      </c>
      <c r="AB14">
        <v>0</v>
      </c>
      <c r="AC14">
        <v>0</v>
      </c>
      <c r="AD14">
        <v>0</v>
      </c>
      <c r="AE14">
        <v>0</v>
      </c>
      <c r="AF14">
        <v>1</v>
      </c>
      <c r="AG14">
        <v>0</v>
      </c>
      <c r="AJ14">
        <v>1</v>
      </c>
      <c r="AK14">
        <v>1</v>
      </c>
      <c r="AL14">
        <v>1</v>
      </c>
      <c r="AM14">
        <v>0</v>
      </c>
    </row>
    <row r="15" spans="1:39" x14ac:dyDescent="0.3">
      <c r="A15" t="s">
        <v>131</v>
      </c>
      <c r="B15" t="s">
        <v>82</v>
      </c>
      <c r="C15" t="s">
        <v>84</v>
      </c>
      <c r="E15">
        <v>1133.9824565726999</v>
      </c>
      <c r="F15">
        <v>0</v>
      </c>
      <c r="G15" t="s">
        <v>126</v>
      </c>
      <c r="H15">
        <v>1133.9824565726999</v>
      </c>
      <c r="I15" t="s">
        <v>8</v>
      </c>
      <c r="K15">
        <v>0</v>
      </c>
      <c r="L15">
        <v>1</v>
      </c>
      <c r="N15" t="e">
        <f>-inf</f>
        <v>#NAME?</v>
      </c>
      <c r="O15" t="s">
        <v>8</v>
      </c>
      <c r="P15">
        <v>0</v>
      </c>
      <c r="Q15">
        <v>1</v>
      </c>
      <c r="R15" t="s">
        <v>18</v>
      </c>
      <c r="S15">
        <v>30.0988404494382</v>
      </c>
      <c r="T15">
        <v>0</v>
      </c>
      <c r="U15" t="s">
        <v>94</v>
      </c>
      <c r="V15">
        <v>0</v>
      </c>
      <c r="W15" t="s">
        <v>8</v>
      </c>
      <c r="X15">
        <v>337208.02744802902</v>
      </c>
      <c r="Y15">
        <v>0.35599999999999898</v>
      </c>
      <c r="Z15" t="s">
        <v>126</v>
      </c>
      <c r="AA15">
        <v>0</v>
      </c>
      <c r="AB15">
        <v>0</v>
      </c>
      <c r="AC15">
        <v>0</v>
      </c>
      <c r="AD15">
        <v>0</v>
      </c>
      <c r="AE15">
        <v>0</v>
      </c>
      <c r="AF15">
        <v>1</v>
      </c>
      <c r="AG15">
        <v>0</v>
      </c>
      <c r="AJ15">
        <v>1</v>
      </c>
      <c r="AK15">
        <v>1</v>
      </c>
      <c r="AL15">
        <v>1</v>
      </c>
      <c r="AM15">
        <v>0</v>
      </c>
    </row>
    <row r="16" spans="1:39" x14ac:dyDescent="0.3">
      <c r="A16" t="s">
        <v>132</v>
      </c>
      <c r="B16" t="s">
        <v>82</v>
      </c>
      <c r="C16" t="s">
        <v>84</v>
      </c>
      <c r="E16">
        <v>150</v>
      </c>
      <c r="F16">
        <v>0</v>
      </c>
      <c r="G16" t="s">
        <v>126</v>
      </c>
      <c r="H16">
        <v>150</v>
      </c>
      <c r="I16" t="s">
        <v>8</v>
      </c>
      <c r="K16">
        <v>0</v>
      </c>
      <c r="L16">
        <v>1</v>
      </c>
      <c r="N16" t="e">
        <f>-inf</f>
        <v>#NAME?</v>
      </c>
      <c r="O16" t="s">
        <v>8</v>
      </c>
      <c r="P16">
        <v>0</v>
      </c>
      <c r="Q16">
        <v>1</v>
      </c>
      <c r="R16" t="s">
        <v>20</v>
      </c>
      <c r="S16">
        <v>157.523871428571</v>
      </c>
      <c r="T16">
        <v>0</v>
      </c>
      <c r="U16" t="s">
        <v>94</v>
      </c>
      <c r="V16">
        <v>0</v>
      </c>
      <c r="W16" t="s">
        <v>8</v>
      </c>
      <c r="X16">
        <v>39078.2804667729</v>
      </c>
      <c r="Y16">
        <v>0.35</v>
      </c>
      <c r="Z16" t="s">
        <v>126</v>
      </c>
      <c r="AA16">
        <v>0</v>
      </c>
      <c r="AB16">
        <v>0</v>
      </c>
      <c r="AC16">
        <v>0</v>
      </c>
      <c r="AD16">
        <v>0</v>
      </c>
      <c r="AE16">
        <v>0</v>
      </c>
      <c r="AF16">
        <v>1</v>
      </c>
      <c r="AG16">
        <v>0</v>
      </c>
      <c r="AJ16">
        <v>1</v>
      </c>
      <c r="AK16">
        <v>1</v>
      </c>
      <c r="AL16">
        <v>1</v>
      </c>
      <c r="AM16">
        <v>0</v>
      </c>
    </row>
    <row r="17" spans="1:39" x14ac:dyDescent="0.3">
      <c r="A17" t="s">
        <v>139</v>
      </c>
      <c r="B17" t="s">
        <v>79</v>
      </c>
      <c r="C17" t="s">
        <v>84</v>
      </c>
      <c r="E17">
        <v>0</v>
      </c>
      <c r="F17">
        <v>0</v>
      </c>
      <c r="G17" t="s">
        <v>94</v>
      </c>
      <c r="H17">
        <v>0</v>
      </c>
      <c r="I17">
        <v>161421.69257621799</v>
      </c>
      <c r="K17">
        <v>0</v>
      </c>
      <c r="L17">
        <v>1</v>
      </c>
      <c r="N17" t="e">
        <f>-inf</f>
        <v>#NAME?</v>
      </c>
      <c r="O17" t="s">
        <v>8</v>
      </c>
      <c r="P17">
        <v>0</v>
      </c>
      <c r="Q17">
        <v>1</v>
      </c>
      <c r="R17" t="s">
        <v>34</v>
      </c>
      <c r="S17">
        <v>0.01</v>
      </c>
      <c r="T17">
        <v>0</v>
      </c>
      <c r="U17" t="s">
        <v>94</v>
      </c>
      <c r="V17">
        <v>0</v>
      </c>
      <c r="W17">
        <v>40</v>
      </c>
      <c r="X17">
        <v>35441.675812711299</v>
      </c>
      <c r="Y17">
        <v>1</v>
      </c>
      <c r="Z17" t="s">
        <v>126</v>
      </c>
      <c r="AA17">
        <v>0</v>
      </c>
      <c r="AB17">
        <v>0</v>
      </c>
      <c r="AC17">
        <v>0</v>
      </c>
      <c r="AD17">
        <v>0</v>
      </c>
      <c r="AE17">
        <v>0</v>
      </c>
      <c r="AF17">
        <v>1</v>
      </c>
      <c r="AG17">
        <v>0</v>
      </c>
      <c r="AJ17">
        <v>1</v>
      </c>
      <c r="AK17">
        <v>1</v>
      </c>
      <c r="AL17">
        <v>1</v>
      </c>
      <c r="AM17">
        <v>0</v>
      </c>
    </row>
    <row r="18" spans="1:39" x14ac:dyDescent="0.3">
      <c r="A18" t="s">
        <v>242</v>
      </c>
      <c r="B18" t="s">
        <v>201</v>
      </c>
      <c r="C18" t="s">
        <v>84</v>
      </c>
      <c r="E18">
        <v>0</v>
      </c>
      <c r="F18">
        <v>0</v>
      </c>
      <c r="G18" t="s">
        <v>94</v>
      </c>
      <c r="H18">
        <v>0</v>
      </c>
      <c r="I18">
        <v>108664.622034773</v>
      </c>
      <c r="K18">
        <v>0</v>
      </c>
      <c r="L18">
        <v>1</v>
      </c>
      <c r="N18" t="e">
        <f>-inf</f>
        <v>#NAME?</v>
      </c>
      <c r="O18" t="s">
        <v>8</v>
      </c>
      <c r="P18">
        <v>0</v>
      </c>
      <c r="Q18">
        <v>1</v>
      </c>
      <c r="R18" t="s">
        <v>34</v>
      </c>
      <c r="S18">
        <v>0.01</v>
      </c>
      <c r="T18">
        <v>0</v>
      </c>
      <c r="U18" t="s">
        <v>94</v>
      </c>
      <c r="V18">
        <v>0</v>
      </c>
      <c r="W18">
        <v>40</v>
      </c>
      <c r="X18">
        <v>35441.675812711299</v>
      </c>
      <c r="Y18">
        <v>1</v>
      </c>
      <c r="Z18" t="s">
        <v>126</v>
      </c>
      <c r="AA18">
        <v>0</v>
      </c>
      <c r="AB18">
        <v>0</v>
      </c>
      <c r="AC18">
        <v>0</v>
      </c>
      <c r="AD18">
        <v>0</v>
      </c>
      <c r="AE18">
        <v>0</v>
      </c>
      <c r="AF18">
        <v>1</v>
      </c>
      <c r="AG18">
        <v>0</v>
      </c>
      <c r="AJ18">
        <v>1</v>
      </c>
      <c r="AK18">
        <v>1</v>
      </c>
      <c r="AL18">
        <v>1</v>
      </c>
      <c r="AM18">
        <v>0</v>
      </c>
    </row>
    <row r="19" spans="1:39" x14ac:dyDescent="0.3">
      <c r="A19" t="s">
        <v>243</v>
      </c>
      <c r="B19" t="s">
        <v>202</v>
      </c>
      <c r="C19" t="s">
        <v>84</v>
      </c>
      <c r="E19">
        <v>0</v>
      </c>
      <c r="F19">
        <v>0</v>
      </c>
      <c r="G19" t="s">
        <v>94</v>
      </c>
      <c r="H19">
        <v>0</v>
      </c>
      <c r="I19">
        <v>169922.17591923301</v>
      </c>
      <c r="K19">
        <v>0</v>
      </c>
      <c r="L19">
        <v>1</v>
      </c>
      <c r="N19" t="e">
        <f>-inf</f>
        <v>#NAME?</v>
      </c>
      <c r="O19" t="s">
        <v>8</v>
      </c>
      <c r="P19">
        <v>0</v>
      </c>
      <c r="Q19">
        <v>1</v>
      </c>
      <c r="R19" t="s">
        <v>34</v>
      </c>
      <c r="S19">
        <v>0.01</v>
      </c>
      <c r="T19">
        <v>0</v>
      </c>
      <c r="U19" t="s">
        <v>94</v>
      </c>
      <c r="V19">
        <v>0</v>
      </c>
      <c r="W19">
        <v>40</v>
      </c>
      <c r="X19">
        <v>35441.675812711299</v>
      </c>
      <c r="Y19">
        <v>1</v>
      </c>
      <c r="Z19" t="s">
        <v>126</v>
      </c>
      <c r="AA19">
        <v>0</v>
      </c>
      <c r="AB19">
        <v>0</v>
      </c>
      <c r="AC19">
        <v>0</v>
      </c>
      <c r="AD19">
        <v>0</v>
      </c>
      <c r="AE19">
        <v>0</v>
      </c>
      <c r="AF19">
        <v>1</v>
      </c>
      <c r="AG19">
        <v>0</v>
      </c>
      <c r="AJ19">
        <v>1</v>
      </c>
      <c r="AK19">
        <v>1</v>
      </c>
      <c r="AL19">
        <v>1</v>
      </c>
      <c r="AM19">
        <v>0</v>
      </c>
    </row>
    <row r="20" spans="1:39" x14ac:dyDescent="0.3">
      <c r="A20" t="s">
        <v>244</v>
      </c>
      <c r="B20" t="s">
        <v>203</v>
      </c>
      <c r="C20" t="s">
        <v>84</v>
      </c>
      <c r="E20">
        <v>0</v>
      </c>
      <c r="F20">
        <v>0</v>
      </c>
      <c r="G20" t="s">
        <v>94</v>
      </c>
      <c r="H20">
        <v>0</v>
      </c>
      <c r="I20">
        <v>190075.92695905201</v>
      </c>
      <c r="K20">
        <v>0</v>
      </c>
      <c r="L20">
        <v>1</v>
      </c>
      <c r="N20" t="e">
        <f>-inf</f>
        <v>#NAME?</v>
      </c>
      <c r="O20" t="s">
        <v>8</v>
      </c>
      <c r="P20">
        <v>0</v>
      </c>
      <c r="Q20">
        <v>1</v>
      </c>
      <c r="R20" t="s">
        <v>34</v>
      </c>
      <c r="S20">
        <v>0.01</v>
      </c>
      <c r="T20">
        <v>0</v>
      </c>
      <c r="U20" t="s">
        <v>94</v>
      </c>
      <c r="V20">
        <v>0</v>
      </c>
      <c r="W20">
        <v>40</v>
      </c>
      <c r="X20">
        <v>35441.675812711299</v>
      </c>
      <c r="Y20">
        <v>1</v>
      </c>
      <c r="Z20" t="s">
        <v>126</v>
      </c>
      <c r="AA20">
        <v>0</v>
      </c>
      <c r="AB20">
        <v>0</v>
      </c>
      <c r="AC20">
        <v>0</v>
      </c>
      <c r="AD20">
        <v>0</v>
      </c>
      <c r="AE20">
        <v>0</v>
      </c>
      <c r="AF20">
        <v>1</v>
      </c>
      <c r="AG20">
        <v>0</v>
      </c>
      <c r="AJ20">
        <v>1</v>
      </c>
      <c r="AK20">
        <v>1</v>
      </c>
      <c r="AL20">
        <v>1</v>
      </c>
      <c r="AM20">
        <v>0</v>
      </c>
    </row>
    <row r="21" spans="1:39" x14ac:dyDescent="0.3">
      <c r="A21" t="s">
        <v>140</v>
      </c>
      <c r="B21" t="s">
        <v>82</v>
      </c>
      <c r="C21" t="s">
        <v>84</v>
      </c>
      <c r="E21">
        <v>0</v>
      </c>
      <c r="F21">
        <v>0</v>
      </c>
      <c r="G21" t="s">
        <v>94</v>
      </c>
      <c r="H21">
        <v>0</v>
      </c>
      <c r="I21">
        <v>33849.788756153001</v>
      </c>
      <c r="K21">
        <v>0</v>
      </c>
      <c r="L21">
        <v>1</v>
      </c>
      <c r="N21" t="e">
        <f>-inf</f>
        <v>#NAME?</v>
      </c>
      <c r="O21" t="s">
        <v>8</v>
      </c>
      <c r="P21">
        <v>0</v>
      </c>
      <c r="Q21">
        <v>1</v>
      </c>
      <c r="R21" t="s">
        <v>34</v>
      </c>
      <c r="S21">
        <v>0.01</v>
      </c>
      <c r="T21">
        <v>0</v>
      </c>
      <c r="U21" t="s">
        <v>94</v>
      </c>
      <c r="V21">
        <v>0</v>
      </c>
      <c r="W21">
        <v>40</v>
      </c>
      <c r="X21">
        <v>35441.675812711299</v>
      </c>
      <c r="Y21">
        <v>1</v>
      </c>
      <c r="Z21" t="s">
        <v>126</v>
      </c>
      <c r="AA21">
        <v>0</v>
      </c>
      <c r="AB21">
        <v>0</v>
      </c>
      <c r="AC21">
        <v>0</v>
      </c>
      <c r="AD21">
        <v>0</v>
      </c>
      <c r="AE21">
        <v>0</v>
      </c>
      <c r="AF21">
        <v>1</v>
      </c>
      <c r="AG21">
        <v>0</v>
      </c>
      <c r="AJ21">
        <v>1</v>
      </c>
      <c r="AK21">
        <v>1</v>
      </c>
      <c r="AL21">
        <v>1</v>
      </c>
      <c r="AM21">
        <v>0</v>
      </c>
    </row>
    <row r="22" spans="1:39" x14ac:dyDescent="0.3">
      <c r="A22" t="s">
        <v>135</v>
      </c>
      <c r="B22" t="s">
        <v>79</v>
      </c>
      <c r="C22" t="s">
        <v>84</v>
      </c>
      <c r="E22">
        <v>6036.4444520636598</v>
      </c>
      <c r="F22">
        <v>0</v>
      </c>
      <c r="G22" t="s">
        <v>94</v>
      </c>
      <c r="H22">
        <v>6036.4444520636598</v>
      </c>
      <c r="I22">
        <v>185835.357141922</v>
      </c>
      <c r="K22">
        <v>0</v>
      </c>
      <c r="L22">
        <v>1</v>
      </c>
      <c r="N22" t="e">
        <f>-inf</f>
        <v>#NAME?</v>
      </c>
      <c r="O22" t="s">
        <v>8</v>
      </c>
      <c r="P22">
        <v>0</v>
      </c>
      <c r="Q22">
        <v>1</v>
      </c>
      <c r="R22" t="s">
        <v>28</v>
      </c>
      <c r="S22">
        <v>0.01</v>
      </c>
      <c r="T22">
        <v>0</v>
      </c>
      <c r="U22" t="s">
        <v>94</v>
      </c>
      <c r="V22">
        <v>0</v>
      </c>
      <c r="W22">
        <v>40</v>
      </c>
      <c r="X22">
        <v>29345.796278110302</v>
      </c>
      <c r="Y22">
        <v>1</v>
      </c>
      <c r="Z22" t="s">
        <v>126</v>
      </c>
      <c r="AA22">
        <v>0</v>
      </c>
      <c r="AB22">
        <v>0</v>
      </c>
      <c r="AC22">
        <v>0</v>
      </c>
      <c r="AD22">
        <v>0</v>
      </c>
      <c r="AE22">
        <v>0</v>
      </c>
      <c r="AF22">
        <v>1</v>
      </c>
      <c r="AG22">
        <v>0</v>
      </c>
      <c r="AJ22">
        <v>1</v>
      </c>
      <c r="AK22">
        <v>1</v>
      </c>
      <c r="AL22">
        <v>1</v>
      </c>
      <c r="AM22">
        <v>0</v>
      </c>
    </row>
    <row r="23" spans="1:39" x14ac:dyDescent="0.3">
      <c r="A23" t="s">
        <v>245</v>
      </c>
      <c r="B23" t="s">
        <v>201</v>
      </c>
      <c r="C23" t="s">
        <v>84</v>
      </c>
      <c r="E23">
        <v>2825.7933336098199</v>
      </c>
      <c r="F23">
        <v>0</v>
      </c>
      <c r="G23" t="s">
        <v>94</v>
      </c>
      <c r="H23">
        <v>2825.7933336098199</v>
      </c>
      <c r="I23">
        <v>125099.226270281</v>
      </c>
      <c r="K23">
        <v>0</v>
      </c>
      <c r="L23">
        <v>1</v>
      </c>
      <c r="N23" t="e">
        <f>-inf</f>
        <v>#NAME?</v>
      </c>
      <c r="O23" t="s">
        <v>8</v>
      </c>
      <c r="P23">
        <v>0</v>
      </c>
      <c r="Q23">
        <v>1</v>
      </c>
      <c r="R23" t="s">
        <v>28</v>
      </c>
      <c r="S23">
        <v>0.01</v>
      </c>
      <c r="T23">
        <v>0</v>
      </c>
      <c r="U23" t="s">
        <v>94</v>
      </c>
      <c r="V23">
        <v>0</v>
      </c>
      <c r="W23">
        <v>40</v>
      </c>
      <c r="X23">
        <v>29345.796278110302</v>
      </c>
      <c r="Y23">
        <v>1</v>
      </c>
      <c r="Z23" t="s">
        <v>126</v>
      </c>
      <c r="AA23">
        <v>0</v>
      </c>
      <c r="AB23">
        <v>0</v>
      </c>
      <c r="AC23">
        <v>0</v>
      </c>
      <c r="AD23">
        <v>0</v>
      </c>
      <c r="AE23">
        <v>0</v>
      </c>
      <c r="AF23">
        <v>1</v>
      </c>
      <c r="AG23">
        <v>0</v>
      </c>
      <c r="AJ23">
        <v>1</v>
      </c>
      <c r="AK23">
        <v>1</v>
      </c>
      <c r="AL23">
        <v>1</v>
      </c>
      <c r="AM23">
        <v>0</v>
      </c>
    </row>
    <row r="24" spans="1:39" x14ac:dyDescent="0.3">
      <c r="A24" t="s">
        <v>246</v>
      </c>
      <c r="B24" t="s">
        <v>202</v>
      </c>
      <c r="C24" t="s">
        <v>84</v>
      </c>
      <c r="E24">
        <v>4528.95788936603</v>
      </c>
      <c r="F24">
        <v>0</v>
      </c>
      <c r="G24" t="s">
        <v>94</v>
      </c>
      <c r="H24">
        <v>4528.95788936603</v>
      </c>
      <c r="I24">
        <v>195621.46663387999</v>
      </c>
      <c r="K24">
        <v>0</v>
      </c>
      <c r="L24">
        <v>1</v>
      </c>
      <c r="N24" t="e">
        <f>-inf</f>
        <v>#NAME?</v>
      </c>
      <c r="O24" t="s">
        <v>8</v>
      </c>
      <c r="P24">
        <v>0</v>
      </c>
      <c r="Q24">
        <v>1</v>
      </c>
      <c r="R24" t="s">
        <v>28</v>
      </c>
      <c r="S24">
        <v>0.01</v>
      </c>
      <c r="T24">
        <v>0</v>
      </c>
      <c r="U24" t="s">
        <v>94</v>
      </c>
      <c r="V24">
        <v>0</v>
      </c>
      <c r="W24">
        <v>40</v>
      </c>
      <c r="X24">
        <v>29345.796278110302</v>
      </c>
      <c r="Y24">
        <v>1</v>
      </c>
      <c r="Z24" t="s">
        <v>126</v>
      </c>
      <c r="AA24">
        <v>0</v>
      </c>
      <c r="AB24">
        <v>0</v>
      </c>
      <c r="AC24">
        <v>0</v>
      </c>
      <c r="AD24">
        <v>0</v>
      </c>
      <c r="AE24">
        <v>0</v>
      </c>
      <c r="AF24">
        <v>1</v>
      </c>
      <c r="AG24">
        <v>0</v>
      </c>
      <c r="AJ24">
        <v>1</v>
      </c>
      <c r="AK24">
        <v>1</v>
      </c>
      <c r="AL24">
        <v>1</v>
      </c>
      <c r="AM24">
        <v>0</v>
      </c>
    </row>
    <row r="25" spans="1:39" x14ac:dyDescent="0.3">
      <c r="A25" t="s">
        <v>247</v>
      </c>
      <c r="B25" t="s">
        <v>203</v>
      </c>
      <c r="C25" t="s">
        <v>84</v>
      </c>
      <c r="E25">
        <v>6192.1684883405496</v>
      </c>
      <c r="F25">
        <v>0</v>
      </c>
      <c r="G25" t="s">
        <v>94</v>
      </c>
      <c r="H25">
        <v>6192.1684883405496</v>
      </c>
      <c r="I25">
        <v>218823.301916742</v>
      </c>
      <c r="K25">
        <v>0</v>
      </c>
      <c r="L25">
        <v>1</v>
      </c>
      <c r="N25" t="e">
        <f>-inf</f>
        <v>#NAME?</v>
      </c>
      <c r="O25" t="s">
        <v>8</v>
      </c>
      <c r="P25">
        <v>0</v>
      </c>
      <c r="Q25">
        <v>1</v>
      </c>
      <c r="R25" t="s">
        <v>28</v>
      </c>
      <c r="S25">
        <v>0.01</v>
      </c>
      <c r="T25">
        <v>0</v>
      </c>
      <c r="U25" t="s">
        <v>94</v>
      </c>
      <c r="V25">
        <v>0</v>
      </c>
      <c r="W25">
        <v>40</v>
      </c>
      <c r="X25">
        <v>29345.796278110302</v>
      </c>
      <c r="Y25">
        <v>1</v>
      </c>
      <c r="Z25" t="s">
        <v>126</v>
      </c>
      <c r="AA25">
        <v>0</v>
      </c>
      <c r="AB25">
        <v>0</v>
      </c>
      <c r="AC25">
        <v>0</v>
      </c>
      <c r="AD25">
        <v>0</v>
      </c>
      <c r="AE25">
        <v>0</v>
      </c>
      <c r="AF25">
        <v>1</v>
      </c>
      <c r="AG25">
        <v>0</v>
      </c>
      <c r="AJ25">
        <v>1</v>
      </c>
      <c r="AK25">
        <v>1</v>
      </c>
      <c r="AL25">
        <v>1</v>
      </c>
      <c r="AM25">
        <v>0</v>
      </c>
    </row>
    <row r="26" spans="1:39" x14ac:dyDescent="0.3">
      <c r="A26" t="s">
        <v>136</v>
      </c>
      <c r="B26" t="s">
        <v>82</v>
      </c>
      <c r="C26" t="s">
        <v>84</v>
      </c>
      <c r="E26">
        <v>1281.91083661992</v>
      </c>
      <c r="F26">
        <v>0</v>
      </c>
      <c r="G26" t="s">
        <v>94</v>
      </c>
      <c r="H26">
        <v>1281.91083661992</v>
      </c>
      <c r="I26">
        <v>38969.282766677301</v>
      </c>
      <c r="K26">
        <v>0</v>
      </c>
      <c r="L26">
        <v>1</v>
      </c>
      <c r="N26" t="e">
        <f>-inf</f>
        <v>#NAME?</v>
      </c>
      <c r="O26" t="s">
        <v>8</v>
      </c>
      <c r="P26">
        <v>0</v>
      </c>
      <c r="Q26">
        <v>1</v>
      </c>
      <c r="R26" t="s">
        <v>28</v>
      </c>
      <c r="S26">
        <v>0.01</v>
      </c>
      <c r="T26">
        <v>0</v>
      </c>
      <c r="U26" t="s">
        <v>94</v>
      </c>
      <c r="V26">
        <v>0</v>
      </c>
      <c r="W26">
        <v>40</v>
      </c>
      <c r="X26">
        <v>29345.796278110302</v>
      </c>
      <c r="Y26">
        <v>1</v>
      </c>
      <c r="Z26" t="s">
        <v>126</v>
      </c>
      <c r="AA26">
        <v>0</v>
      </c>
      <c r="AB26">
        <v>0</v>
      </c>
      <c r="AC26">
        <v>0</v>
      </c>
      <c r="AD26">
        <v>0</v>
      </c>
      <c r="AE26">
        <v>0</v>
      </c>
      <c r="AF26">
        <v>1</v>
      </c>
      <c r="AG26">
        <v>0</v>
      </c>
      <c r="AJ26">
        <v>1</v>
      </c>
      <c r="AK26">
        <v>1</v>
      </c>
      <c r="AL26">
        <v>1</v>
      </c>
      <c r="AM26">
        <v>0</v>
      </c>
    </row>
    <row r="27" spans="1:39" x14ac:dyDescent="0.3">
      <c r="A27" t="s">
        <v>141</v>
      </c>
      <c r="B27" t="s">
        <v>79</v>
      </c>
      <c r="C27" t="s">
        <v>84</v>
      </c>
      <c r="E27">
        <v>0</v>
      </c>
      <c r="F27">
        <v>0</v>
      </c>
      <c r="G27" t="s">
        <v>94</v>
      </c>
      <c r="H27">
        <v>0</v>
      </c>
      <c r="I27">
        <v>15849.3556234222</v>
      </c>
      <c r="K27">
        <v>0</v>
      </c>
      <c r="L27">
        <v>1</v>
      </c>
      <c r="N27" t="e">
        <f>-inf</f>
        <v>#NAME?</v>
      </c>
      <c r="O27" t="s">
        <v>8</v>
      </c>
      <c r="P27">
        <v>0</v>
      </c>
      <c r="Q27">
        <v>1</v>
      </c>
      <c r="R27" t="s">
        <v>36</v>
      </c>
      <c r="S27">
        <v>1.4999999999999999E-2</v>
      </c>
      <c r="T27">
        <v>0</v>
      </c>
      <c r="U27" t="s">
        <v>94</v>
      </c>
      <c r="V27">
        <v>0</v>
      </c>
      <c r="W27">
        <v>30</v>
      </c>
      <c r="X27">
        <v>184628.96691940699</v>
      </c>
      <c r="Y27">
        <v>1</v>
      </c>
      <c r="Z27" t="s">
        <v>126</v>
      </c>
      <c r="AA27">
        <v>0</v>
      </c>
      <c r="AB27">
        <v>0</v>
      </c>
      <c r="AC27">
        <v>0</v>
      </c>
      <c r="AD27">
        <v>0</v>
      </c>
      <c r="AE27">
        <v>0</v>
      </c>
      <c r="AF27">
        <v>1</v>
      </c>
      <c r="AG27">
        <v>0</v>
      </c>
      <c r="AJ27">
        <v>1</v>
      </c>
      <c r="AK27">
        <v>1</v>
      </c>
      <c r="AL27">
        <v>1</v>
      </c>
      <c r="AM27">
        <v>0</v>
      </c>
    </row>
    <row r="28" spans="1:39" x14ac:dyDescent="0.3">
      <c r="A28" t="s">
        <v>248</v>
      </c>
      <c r="B28" t="s">
        <v>201</v>
      </c>
      <c r="C28" t="s">
        <v>84</v>
      </c>
      <c r="E28">
        <v>0</v>
      </c>
      <c r="F28">
        <v>0</v>
      </c>
      <c r="G28" t="s">
        <v>94</v>
      </c>
      <c r="H28">
        <v>0</v>
      </c>
      <c r="I28">
        <v>1695.69820306882</v>
      </c>
      <c r="K28">
        <v>0</v>
      </c>
      <c r="L28">
        <v>1</v>
      </c>
      <c r="N28" t="e">
        <f>-inf</f>
        <v>#NAME?</v>
      </c>
      <c r="O28" t="s">
        <v>8</v>
      </c>
      <c r="P28">
        <v>0</v>
      </c>
      <c r="Q28">
        <v>1</v>
      </c>
      <c r="R28" t="s">
        <v>36</v>
      </c>
      <c r="S28">
        <v>1.4999999999999999E-2</v>
      </c>
      <c r="T28">
        <v>0</v>
      </c>
      <c r="U28" t="s">
        <v>94</v>
      </c>
      <c r="V28">
        <v>0</v>
      </c>
      <c r="W28">
        <v>30</v>
      </c>
      <c r="X28">
        <v>183540.50599395501</v>
      </c>
      <c r="Y28">
        <v>1</v>
      </c>
      <c r="Z28" t="s">
        <v>126</v>
      </c>
      <c r="AA28">
        <v>0</v>
      </c>
      <c r="AB28">
        <v>0</v>
      </c>
      <c r="AC28">
        <v>0</v>
      </c>
      <c r="AD28">
        <v>0</v>
      </c>
      <c r="AE28">
        <v>0</v>
      </c>
      <c r="AF28">
        <v>1</v>
      </c>
      <c r="AG28">
        <v>0</v>
      </c>
      <c r="AJ28">
        <v>1</v>
      </c>
      <c r="AK28">
        <v>1</v>
      </c>
      <c r="AL28">
        <v>1</v>
      </c>
      <c r="AM28">
        <v>0</v>
      </c>
    </row>
    <row r="29" spans="1:39" x14ac:dyDescent="0.3">
      <c r="A29" t="s">
        <v>249</v>
      </c>
      <c r="B29" t="s">
        <v>202</v>
      </c>
      <c r="C29" t="s">
        <v>84</v>
      </c>
      <c r="E29">
        <v>0</v>
      </c>
      <c r="F29">
        <v>0</v>
      </c>
      <c r="G29" t="s">
        <v>94</v>
      </c>
      <c r="H29">
        <v>0</v>
      </c>
      <c r="I29">
        <v>11403.5551046648</v>
      </c>
      <c r="K29">
        <v>0</v>
      </c>
      <c r="L29">
        <v>1</v>
      </c>
      <c r="N29" t="e">
        <f>-inf</f>
        <v>#NAME?</v>
      </c>
      <c r="O29" t="s">
        <v>8</v>
      </c>
      <c r="P29">
        <v>0</v>
      </c>
      <c r="Q29">
        <v>1</v>
      </c>
      <c r="R29" t="s">
        <v>36</v>
      </c>
      <c r="S29">
        <v>1.4999999999999999E-2</v>
      </c>
      <c r="T29">
        <v>0</v>
      </c>
      <c r="U29" t="s">
        <v>94</v>
      </c>
      <c r="V29">
        <v>0</v>
      </c>
      <c r="W29">
        <v>30</v>
      </c>
      <c r="X29">
        <v>184959.71724890199</v>
      </c>
      <c r="Y29">
        <v>1</v>
      </c>
      <c r="Z29" t="s">
        <v>126</v>
      </c>
      <c r="AA29">
        <v>0</v>
      </c>
      <c r="AB29">
        <v>0</v>
      </c>
      <c r="AC29">
        <v>0</v>
      </c>
      <c r="AD29">
        <v>0</v>
      </c>
      <c r="AE29">
        <v>0</v>
      </c>
      <c r="AF29">
        <v>1</v>
      </c>
      <c r="AG29">
        <v>0</v>
      </c>
      <c r="AJ29">
        <v>1</v>
      </c>
      <c r="AK29">
        <v>1</v>
      </c>
      <c r="AL29">
        <v>1</v>
      </c>
      <c r="AM29">
        <v>0</v>
      </c>
    </row>
    <row r="30" spans="1:39" x14ac:dyDescent="0.3">
      <c r="A30" t="s">
        <v>250</v>
      </c>
      <c r="B30" t="s">
        <v>203</v>
      </c>
      <c r="C30" t="s">
        <v>84</v>
      </c>
      <c r="E30">
        <v>30</v>
      </c>
      <c r="F30">
        <v>0</v>
      </c>
      <c r="G30" t="s">
        <v>94</v>
      </c>
      <c r="H30">
        <v>30</v>
      </c>
      <c r="I30">
        <v>14590.5299304939</v>
      </c>
      <c r="K30">
        <v>0</v>
      </c>
      <c r="L30">
        <v>1</v>
      </c>
      <c r="N30" t="e">
        <f>-inf</f>
        <v>#NAME?</v>
      </c>
      <c r="O30" t="s">
        <v>8</v>
      </c>
      <c r="P30">
        <v>0</v>
      </c>
      <c r="Q30">
        <v>1</v>
      </c>
      <c r="R30" t="s">
        <v>36</v>
      </c>
      <c r="S30">
        <v>1.4999999999999999E-2</v>
      </c>
      <c r="T30">
        <v>0</v>
      </c>
      <c r="U30" t="s">
        <v>94</v>
      </c>
      <c r="V30">
        <v>0</v>
      </c>
      <c r="W30">
        <v>30</v>
      </c>
      <c r="X30">
        <v>183717.61974775899</v>
      </c>
      <c r="Y30">
        <v>1</v>
      </c>
      <c r="Z30" t="s">
        <v>126</v>
      </c>
      <c r="AA30">
        <v>0</v>
      </c>
      <c r="AB30">
        <v>0</v>
      </c>
      <c r="AC30">
        <v>0</v>
      </c>
      <c r="AD30">
        <v>0</v>
      </c>
      <c r="AE30">
        <v>0</v>
      </c>
      <c r="AF30">
        <v>1</v>
      </c>
      <c r="AG30">
        <v>0</v>
      </c>
      <c r="AJ30">
        <v>1</v>
      </c>
      <c r="AK30">
        <v>1</v>
      </c>
      <c r="AL30">
        <v>1</v>
      </c>
      <c r="AM30">
        <v>0</v>
      </c>
    </row>
    <row r="31" spans="1:39" x14ac:dyDescent="0.3">
      <c r="A31" t="s">
        <v>142</v>
      </c>
      <c r="B31" t="s">
        <v>82</v>
      </c>
      <c r="C31" t="s">
        <v>84</v>
      </c>
      <c r="E31">
        <v>0</v>
      </c>
      <c r="F31">
        <v>0</v>
      </c>
      <c r="G31" t="s">
        <v>94</v>
      </c>
      <c r="H31">
        <v>0</v>
      </c>
      <c r="I31">
        <v>6734.7907248903202</v>
      </c>
      <c r="K31">
        <v>0</v>
      </c>
      <c r="L31">
        <v>1</v>
      </c>
      <c r="N31" t="e">
        <f>-inf</f>
        <v>#NAME?</v>
      </c>
      <c r="O31" t="s">
        <v>8</v>
      </c>
      <c r="P31">
        <v>0</v>
      </c>
      <c r="Q31">
        <v>1</v>
      </c>
      <c r="R31" t="s">
        <v>36</v>
      </c>
      <c r="S31">
        <v>1.4999999999999999E-2</v>
      </c>
      <c r="T31">
        <v>0</v>
      </c>
      <c r="U31" t="s">
        <v>94</v>
      </c>
      <c r="V31">
        <v>0</v>
      </c>
      <c r="W31">
        <v>30</v>
      </c>
      <c r="X31">
        <v>183097.28222656899</v>
      </c>
      <c r="Y31">
        <v>1</v>
      </c>
      <c r="Z31" t="s">
        <v>126</v>
      </c>
      <c r="AA31">
        <v>0</v>
      </c>
      <c r="AB31">
        <v>0</v>
      </c>
      <c r="AC31">
        <v>0</v>
      </c>
      <c r="AD31">
        <v>0</v>
      </c>
      <c r="AE31">
        <v>0</v>
      </c>
      <c r="AF31">
        <v>1</v>
      </c>
      <c r="AG31">
        <v>0</v>
      </c>
      <c r="AJ31">
        <v>1</v>
      </c>
      <c r="AK31">
        <v>1</v>
      </c>
      <c r="AL31">
        <v>1</v>
      </c>
      <c r="AM31">
        <v>0</v>
      </c>
    </row>
    <row r="32" spans="1:39" x14ac:dyDescent="0.3">
      <c r="A32" t="s">
        <v>137</v>
      </c>
      <c r="B32" t="s">
        <v>79</v>
      </c>
      <c r="C32" t="s">
        <v>84</v>
      </c>
      <c r="E32">
        <v>2762.5752751914101</v>
      </c>
      <c r="F32">
        <v>0</v>
      </c>
      <c r="G32" t="s">
        <v>94</v>
      </c>
      <c r="H32">
        <v>2762.5752751914101</v>
      </c>
      <c r="I32">
        <v>117723.039266768</v>
      </c>
      <c r="K32">
        <v>0</v>
      </c>
      <c r="L32">
        <v>1</v>
      </c>
      <c r="N32" t="e">
        <f>-inf</f>
        <v>#NAME?</v>
      </c>
      <c r="O32" t="s">
        <v>8</v>
      </c>
      <c r="P32">
        <v>0</v>
      </c>
      <c r="Q32">
        <v>1</v>
      </c>
      <c r="R32" t="s">
        <v>31</v>
      </c>
      <c r="S32">
        <v>1.4999999999999999E-2</v>
      </c>
      <c r="T32">
        <v>0</v>
      </c>
      <c r="U32" t="s">
        <v>94</v>
      </c>
      <c r="V32">
        <v>0</v>
      </c>
      <c r="W32">
        <v>30</v>
      </c>
      <c r="X32">
        <v>94128.969870804998</v>
      </c>
      <c r="Y32">
        <v>1</v>
      </c>
      <c r="Z32" t="s">
        <v>126</v>
      </c>
      <c r="AA32">
        <v>0</v>
      </c>
      <c r="AB32">
        <v>0</v>
      </c>
      <c r="AC32">
        <v>0</v>
      </c>
      <c r="AD32">
        <v>0</v>
      </c>
      <c r="AE32">
        <v>0</v>
      </c>
      <c r="AF32">
        <v>1</v>
      </c>
      <c r="AG32">
        <v>0</v>
      </c>
      <c r="AJ32">
        <v>1</v>
      </c>
      <c r="AK32">
        <v>1</v>
      </c>
      <c r="AL32">
        <v>1</v>
      </c>
      <c r="AM32">
        <v>0</v>
      </c>
    </row>
    <row r="33" spans="1:39" x14ac:dyDescent="0.3">
      <c r="A33" t="s">
        <v>251</v>
      </c>
      <c r="B33" t="s">
        <v>201</v>
      </c>
      <c r="C33" t="s">
        <v>84</v>
      </c>
      <c r="E33">
        <v>87.9994138637784</v>
      </c>
      <c r="F33">
        <v>0</v>
      </c>
      <c r="G33" t="s">
        <v>94</v>
      </c>
      <c r="H33">
        <v>87.9994138637784</v>
      </c>
      <c r="I33">
        <v>89462.310215852805</v>
      </c>
      <c r="K33">
        <v>0</v>
      </c>
      <c r="L33">
        <v>1</v>
      </c>
      <c r="N33" t="e">
        <f>-inf</f>
        <v>#NAME?</v>
      </c>
      <c r="O33" t="s">
        <v>8</v>
      </c>
      <c r="P33">
        <v>0</v>
      </c>
      <c r="Q33">
        <v>1</v>
      </c>
      <c r="R33" t="s">
        <v>31</v>
      </c>
      <c r="S33">
        <v>1.4999999999999999E-2</v>
      </c>
      <c r="T33">
        <v>0</v>
      </c>
      <c r="U33" t="s">
        <v>94</v>
      </c>
      <c r="V33">
        <v>0</v>
      </c>
      <c r="W33">
        <v>30</v>
      </c>
      <c r="X33">
        <v>94128.969870804998</v>
      </c>
      <c r="Y33">
        <v>1</v>
      </c>
      <c r="Z33" t="s">
        <v>126</v>
      </c>
      <c r="AA33">
        <v>0</v>
      </c>
      <c r="AB33">
        <v>0</v>
      </c>
      <c r="AC33">
        <v>0</v>
      </c>
      <c r="AD33">
        <v>0</v>
      </c>
      <c r="AE33">
        <v>0</v>
      </c>
      <c r="AF33">
        <v>1</v>
      </c>
      <c r="AG33">
        <v>0</v>
      </c>
      <c r="AJ33">
        <v>1</v>
      </c>
      <c r="AK33">
        <v>1</v>
      </c>
      <c r="AL33">
        <v>1</v>
      </c>
      <c r="AM33">
        <v>0</v>
      </c>
    </row>
    <row r="34" spans="1:39" x14ac:dyDescent="0.3">
      <c r="A34" t="s">
        <v>252</v>
      </c>
      <c r="B34" t="s">
        <v>202</v>
      </c>
      <c r="C34" t="s">
        <v>84</v>
      </c>
      <c r="E34">
        <v>196.501935442281</v>
      </c>
      <c r="F34">
        <v>0</v>
      </c>
      <c r="G34" t="s">
        <v>94</v>
      </c>
      <c r="H34">
        <v>196.501935442281</v>
      </c>
      <c r="I34">
        <v>117218.73548642</v>
      </c>
      <c r="K34">
        <v>0</v>
      </c>
      <c r="L34">
        <v>1</v>
      </c>
      <c r="N34" t="e">
        <f>-inf</f>
        <v>#NAME?</v>
      </c>
      <c r="O34" t="s">
        <v>8</v>
      </c>
      <c r="P34">
        <v>0</v>
      </c>
      <c r="Q34">
        <v>1</v>
      </c>
      <c r="R34" t="s">
        <v>31</v>
      </c>
      <c r="S34">
        <v>1.4999999999999999E-2</v>
      </c>
      <c r="T34">
        <v>0</v>
      </c>
      <c r="U34" t="s">
        <v>94</v>
      </c>
      <c r="V34">
        <v>0</v>
      </c>
      <c r="W34">
        <v>30</v>
      </c>
      <c r="X34">
        <v>94128.969870804998</v>
      </c>
      <c r="Y34">
        <v>1</v>
      </c>
      <c r="Z34" t="s">
        <v>126</v>
      </c>
      <c r="AA34">
        <v>0</v>
      </c>
      <c r="AB34">
        <v>0</v>
      </c>
      <c r="AC34">
        <v>0</v>
      </c>
      <c r="AD34">
        <v>0</v>
      </c>
      <c r="AE34">
        <v>0</v>
      </c>
      <c r="AF34">
        <v>1</v>
      </c>
      <c r="AG34">
        <v>0</v>
      </c>
      <c r="AJ34">
        <v>1</v>
      </c>
      <c r="AK34">
        <v>1</v>
      </c>
      <c r="AL34">
        <v>1</v>
      </c>
      <c r="AM34">
        <v>0</v>
      </c>
    </row>
    <row r="35" spans="1:39" x14ac:dyDescent="0.3">
      <c r="A35" t="s">
        <v>253</v>
      </c>
      <c r="B35" t="s">
        <v>203</v>
      </c>
      <c r="C35" t="s">
        <v>84</v>
      </c>
      <c r="E35">
        <v>6359.9195317965095</v>
      </c>
      <c r="F35">
        <v>0</v>
      </c>
      <c r="G35" t="s">
        <v>94</v>
      </c>
      <c r="H35">
        <v>6359.9195317965095</v>
      </c>
      <c r="I35">
        <v>131346.194951118</v>
      </c>
      <c r="K35">
        <v>0</v>
      </c>
      <c r="L35">
        <v>1</v>
      </c>
      <c r="N35" t="e">
        <f>-inf</f>
        <v>#NAME?</v>
      </c>
      <c r="O35" t="s">
        <v>8</v>
      </c>
      <c r="P35">
        <v>0</v>
      </c>
      <c r="Q35">
        <v>1</v>
      </c>
      <c r="R35" t="s">
        <v>31</v>
      </c>
      <c r="S35">
        <v>1.4999999999999999E-2</v>
      </c>
      <c r="T35">
        <v>0</v>
      </c>
      <c r="U35" t="s">
        <v>94</v>
      </c>
      <c r="V35">
        <v>0</v>
      </c>
      <c r="W35">
        <v>30</v>
      </c>
      <c r="X35">
        <v>94128.969870804998</v>
      </c>
      <c r="Y35">
        <v>1</v>
      </c>
      <c r="Z35" t="s">
        <v>126</v>
      </c>
      <c r="AA35">
        <v>0</v>
      </c>
      <c r="AB35">
        <v>0</v>
      </c>
      <c r="AC35">
        <v>0</v>
      </c>
      <c r="AD35">
        <v>0</v>
      </c>
      <c r="AE35">
        <v>0</v>
      </c>
      <c r="AF35">
        <v>1</v>
      </c>
      <c r="AG35">
        <v>0</v>
      </c>
      <c r="AJ35">
        <v>1</v>
      </c>
      <c r="AK35">
        <v>1</v>
      </c>
      <c r="AL35">
        <v>1</v>
      </c>
      <c r="AM35">
        <v>0</v>
      </c>
    </row>
    <row r="36" spans="1:39" x14ac:dyDescent="0.3">
      <c r="A36" t="s">
        <v>138</v>
      </c>
      <c r="B36" t="s">
        <v>82</v>
      </c>
      <c r="C36" t="s">
        <v>84</v>
      </c>
      <c r="E36">
        <v>1272.463843706</v>
      </c>
      <c r="F36">
        <v>0</v>
      </c>
      <c r="G36" t="s">
        <v>94</v>
      </c>
      <c r="H36">
        <v>1272.463843706</v>
      </c>
      <c r="I36">
        <v>47449.755803955501</v>
      </c>
      <c r="K36">
        <v>0</v>
      </c>
      <c r="L36">
        <v>1</v>
      </c>
      <c r="N36" t="e">
        <f>-inf</f>
        <v>#NAME?</v>
      </c>
      <c r="O36" t="s">
        <v>8</v>
      </c>
      <c r="P36">
        <v>0</v>
      </c>
      <c r="Q36">
        <v>1</v>
      </c>
      <c r="R36" t="s">
        <v>31</v>
      </c>
      <c r="S36">
        <v>1.4999999999999999E-2</v>
      </c>
      <c r="T36">
        <v>0</v>
      </c>
      <c r="U36" t="s">
        <v>94</v>
      </c>
      <c r="V36">
        <v>0</v>
      </c>
      <c r="W36">
        <v>30</v>
      </c>
      <c r="X36">
        <v>94128.969870804998</v>
      </c>
      <c r="Y36">
        <v>1</v>
      </c>
      <c r="Z36" t="s">
        <v>126</v>
      </c>
      <c r="AA36">
        <v>0</v>
      </c>
      <c r="AB36">
        <v>0</v>
      </c>
      <c r="AC36">
        <v>0</v>
      </c>
      <c r="AD36">
        <v>0</v>
      </c>
      <c r="AE36">
        <v>0</v>
      </c>
      <c r="AF36">
        <v>1</v>
      </c>
      <c r="AG36">
        <v>0</v>
      </c>
      <c r="AJ36">
        <v>1</v>
      </c>
      <c r="AK36">
        <v>1</v>
      </c>
      <c r="AL36">
        <v>1</v>
      </c>
      <c r="AM36">
        <v>0</v>
      </c>
    </row>
    <row r="37" spans="1:39" x14ac:dyDescent="0.3">
      <c r="A37" t="s">
        <v>133</v>
      </c>
      <c r="B37" t="s">
        <v>79</v>
      </c>
      <c r="C37" t="s">
        <v>84</v>
      </c>
      <c r="E37">
        <v>0</v>
      </c>
      <c r="F37">
        <v>0</v>
      </c>
      <c r="G37" t="s">
        <v>94</v>
      </c>
      <c r="H37">
        <v>0</v>
      </c>
      <c r="I37">
        <v>39095.697484974196</v>
      </c>
      <c r="K37">
        <v>0</v>
      </c>
      <c r="L37">
        <v>1</v>
      </c>
      <c r="N37" t="e">
        <f>-inf</f>
        <v>#NAME?</v>
      </c>
      <c r="O37" t="s">
        <v>8</v>
      </c>
      <c r="P37">
        <v>0</v>
      </c>
      <c r="Q37">
        <v>1</v>
      </c>
      <c r="R37" t="s">
        <v>25</v>
      </c>
      <c r="S37">
        <v>1.4999999999999999E-2</v>
      </c>
      <c r="T37">
        <v>0</v>
      </c>
      <c r="U37" t="s">
        <v>94</v>
      </c>
      <c r="V37">
        <v>0</v>
      </c>
      <c r="W37">
        <v>30</v>
      </c>
      <c r="X37">
        <v>220868.151931464</v>
      </c>
      <c r="Y37">
        <v>1</v>
      </c>
      <c r="Z37" t="s">
        <v>126</v>
      </c>
      <c r="AA37">
        <v>0</v>
      </c>
      <c r="AB37">
        <v>0</v>
      </c>
      <c r="AC37">
        <v>0</v>
      </c>
      <c r="AD37">
        <v>0</v>
      </c>
      <c r="AE37">
        <v>0</v>
      </c>
      <c r="AF37">
        <v>1</v>
      </c>
      <c r="AG37">
        <v>0</v>
      </c>
      <c r="AJ37">
        <v>1</v>
      </c>
      <c r="AK37">
        <v>1</v>
      </c>
      <c r="AL37">
        <v>1</v>
      </c>
      <c r="AM37">
        <v>0</v>
      </c>
    </row>
    <row r="38" spans="1:39" x14ac:dyDescent="0.3">
      <c r="A38" t="s">
        <v>254</v>
      </c>
      <c r="B38" t="s">
        <v>201</v>
      </c>
      <c r="C38" t="s">
        <v>84</v>
      </c>
      <c r="E38">
        <v>0</v>
      </c>
      <c r="F38">
        <v>0</v>
      </c>
      <c r="G38" t="s">
        <v>94</v>
      </c>
      <c r="H38">
        <v>0</v>
      </c>
      <c r="I38">
        <v>6619.5580063246598</v>
      </c>
      <c r="K38">
        <v>0</v>
      </c>
      <c r="L38">
        <v>1</v>
      </c>
      <c r="N38" t="e">
        <f>-inf</f>
        <v>#NAME?</v>
      </c>
      <c r="O38" t="s">
        <v>8</v>
      </c>
      <c r="P38">
        <v>0</v>
      </c>
      <c r="Q38">
        <v>1</v>
      </c>
      <c r="R38" t="s">
        <v>25</v>
      </c>
      <c r="S38">
        <v>1.4999999999999999E-2</v>
      </c>
      <c r="T38">
        <v>0</v>
      </c>
      <c r="U38" t="s">
        <v>94</v>
      </c>
      <c r="V38">
        <v>0</v>
      </c>
      <c r="W38">
        <v>30</v>
      </c>
      <c r="X38">
        <v>218432.29218372901</v>
      </c>
      <c r="Y38">
        <v>1</v>
      </c>
      <c r="Z38" t="s">
        <v>126</v>
      </c>
      <c r="AA38">
        <v>0</v>
      </c>
      <c r="AB38">
        <v>0</v>
      </c>
      <c r="AC38">
        <v>0</v>
      </c>
      <c r="AD38">
        <v>0</v>
      </c>
      <c r="AE38">
        <v>0</v>
      </c>
      <c r="AF38">
        <v>1</v>
      </c>
      <c r="AG38">
        <v>0</v>
      </c>
      <c r="AJ38">
        <v>1</v>
      </c>
      <c r="AK38">
        <v>1</v>
      </c>
      <c r="AL38">
        <v>1</v>
      </c>
      <c r="AM38">
        <v>0</v>
      </c>
    </row>
    <row r="39" spans="1:39" x14ac:dyDescent="0.3">
      <c r="A39" t="s">
        <v>255</v>
      </c>
      <c r="B39" t="s">
        <v>202</v>
      </c>
      <c r="C39" t="s">
        <v>84</v>
      </c>
      <c r="E39">
        <v>0</v>
      </c>
      <c r="F39">
        <v>0</v>
      </c>
      <c r="G39" t="s">
        <v>94</v>
      </c>
      <c r="H39">
        <v>0</v>
      </c>
      <c r="I39">
        <v>11446.059868574999</v>
      </c>
      <c r="K39">
        <v>0</v>
      </c>
      <c r="L39">
        <v>1</v>
      </c>
      <c r="N39" t="e">
        <f>-inf</f>
        <v>#NAME?</v>
      </c>
      <c r="O39" t="s">
        <v>8</v>
      </c>
      <c r="P39">
        <v>0</v>
      </c>
      <c r="Q39">
        <v>1</v>
      </c>
      <c r="R39" t="s">
        <v>25</v>
      </c>
      <c r="S39">
        <v>1.4999999999999999E-2</v>
      </c>
      <c r="T39">
        <v>0</v>
      </c>
      <c r="U39" t="s">
        <v>94</v>
      </c>
      <c r="V39">
        <v>0</v>
      </c>
      <c r="W39">
        <v>30</v>
      </c>
      <c r="X39">
        <v>224040.28091173599</v>
      </c>
      <c r="Y39">
        <v>1</v>
      </c>
      <c r="Z39" t="s">
        <v>126</v>
      </c>
      <c r="AA39">
        <v>0</v>
      </c>
      <c r="AB39">
        <v>0</v>
      </c>
      <c r="AC39">
        <v>0</v>
      </c>
      <c r="AD39">
        <v>0</v>
      </c>
      <c r="AE39">
        <v>0</v>
      </c>
      <c r="AF39">
        <v>1</v>
      </c>
      <c r="AG39">
        <v>0</v>
      </c>
      <c r="AJ39">
        <v>1</v>
      </c>
      <c r="AK39">
        <v>1</v>
      </c>
      <c r="AL39">
        <v>1</v>
      </c>
      <c r="AM39">
        <v>0</v>
      </c>
    </row>
    <row r="40" spans="1:39" x14ac:dyDescent="0.3">
      <c r="A40" t="s">
        <v>256</v>
      </c>
      <c r="B40" t="s">
        <v>203</v>
      </c>
      <c r="C40" t="s">
        <v>84</v>
      </c>
      <c r="E40">
        <v>0</v>
      </c>
      <c r="F40">
        <v>0</v>
      </c>
      <c r="G40" t="s">
        <v>94</v>
      </c>
      <c r="H40">
        <v>0</v>
      </c>
      <c r="I40">
        <v>76674.259441503498</v>
      </c>
      <c r="K40">
        <v>0</v>
      </c>
      <c r="L40">
        <v>1</v>
      </c>
      <c r="N40" t="e">
        <f>-inf</f>
        <v>#NAME?</v>
      </c>
      <c r="O40" t="s">
        <v>8</v>
      </c>
      <c r="P40">
        <v>0</v>
      </c>
      <c r="Q40">
        <v>1</v>
      </c>
      <c r="R40" t="s">
        <v>25</v>
      </c>
      <c r="S40">
        <v>1.4999999999999999E-2</v>
      </c>
      <c r="T40">
        <v>0</v>
      </c>
      <c r="U40" t="s">
        <v>94</v>
      </c>
      <c r="V40">
        <v>0</v>
      </c>
      <c r="W40">
        <v>30</v>
      </c>
      <c r="X40">
        <v>230422.94914631901</v>
      </c>
      <c r="Y40">
        <v>1</v>
      </c>
      <c r="Z40" t="s">
        <v>126</v>
      </c>
      <c r="AA40">
        <v>0</v>
      </c>
      <c r="AB40">
        <v>0</v>
      </c>
      <c r="AC40">
        <v>0</v>
      </c>
      <c r="AD40">
        <v>0</v>
      </c>
      <c r="AE40">
        <v>0</v>
      </c>
      <c r="AF40">
        <v>1</v>
      </c>
      <c r="AG40">
        <v>0</v>
      </c>
      <c r="AJ40">
        <v>1</v>
      </c>
      <c r="AK40">
        <v>1</v>
      </c>
      <c r="AL40">
        <v>1</v>
      </c>
      <c r="AM40">
        <v>0</v>
      </c>
    </row>
    <row r="41" spans="1:39" x14ac:dyDescent="0.3">
      <c r="A41" t="s">
        <v>134</v>
      </c>
      <c r="B41" t="s">
        <v>82</v>
      </c>
      <c r="C41" t="s">
        <v>84</v>
      </c>
      <c r="E41">
        <v>0</v>
      </c>
      <c r="F41">
        <v>0</v>
      </c>
      <c r="G41" t="s">
        <v>94</v>
      </c>
      <c r="H41">
        <v>0</v>
      </c>
      <c r="I41">
        <v>26540.083423639699</v>
      </c>
      <c r="K41">
        <v>0</v>
      </c>
      <c r="L41">
        <v>1</v>
      </c>
      <c r="N41" t="e">
        <f>-inf</f>
        <v>#NAME?</v>
      </c>
      <c r="O41" t="s">
        <v>8</v>
      </c>
      <c r="P41">
        <v>0</v>
      </c>
      <c r="Q41">
        <v>1</v>
      </c>
      <c r="R41" t="s">
        <v>25</v>
      </c>
      <c r="S41">
        <v>1.4999999999999999E-2</v>
      </c>
      <c r="T41">
        <v>0</v>
      </c>
      <c r="U41" t="s">
        <v>94</v>
      </c>
      <c r="V41">
        <v>0</v>
      </c>
      <c r="W41">
        <v>30</v>
      </c>
      <c r="X41">
        <v>219693.555957812</v>
      </c>
      <c r="Y41">
        <v>1</v>
      </c>
      <c r="Z41" t="s">
        <v>126</v>
      </c>
      <c r="AA41">
        <v>0</v>
      </c>
      <c r="AB41">
        <v>0</v>
      </c>
      <c r="AC41">
        <v>0</v>
      </c>
      <c r="AD41">
        <v>0</v>
      </c>
      <c r="AE41">
        <v>0</v>
      </c>
      <c r="AF41">
        <v>1</v>
      </c>
      <c r="AG41">
        <v>0</v>
      </c>
      <c r="AJ41">
        <v>1</v>
      </c>
      <c r="AK41">
        <v>1</v>
      </c>
      <c r="AL41">
        <v>1</v>
      </c>
      <c r="AM41">
        <v>0</v>
      </c>
    </row>
    <row r="42" spans="1:39" x14ac:dyDescent="0.3">
      <c r="A42" t="s">
        <v>143</v>
      </c>
      <c r="B42" t="s">
        <v>79</v>
      </c>
      <c r="C42" t="s">
        <v>84</v>
      </c>
      <c r="E42">
        <v>0</v>
      </c>
      <c r="F42">
        <v>0</v>
      </c>
      <c r="G42" t="s">
        <v>94</v>
      </c>
      <c r="H42">
        <v>0</v>
      </c>
      <c r="I42">
        <v>1106.8878481402201</v>
      </c>
      <c r="K42">
        <v>0</v>
      </c>
      <c r="L42">
        <v>1</v>
      </c>
      <c r="N42" t="e">
        <f>-inf</f>
        <v>#NAME?</v>
      </c>
      <c r="O42" t="s">
        <v>8</v>
      </c>
      <c r="P42">
        <v>0</v>
      </c>
      <c r="Q42">
        <v>1</v>
      </c>
      <c r="R42" t="s">
        <v>39</v>
      </c>
      <c r="S42">
        <v>1.4999999999999999E-2</v>
      </c>
      <c r="T42">
        <v>0</v>
      </c>
      <c r="U42" t="s">
        <v>94</v>
      </c>
      <c r="V42">
        <v>0</v>
      </c>
      <c r="W42">
        <v>30</v>
      </c>
      <c r="X42">
        <v>206129.643475605</v>
      </c>
      <c r="Y42">
        <v>1</v>
      </c>
      <c r="Z42" t="s">
        <v>126</v>
      </c>
      <c r="AA42">
        <v>0</v>
      </c>
      <c r="AB42">
        <v>0</v>
      </c>
      <c r="AC42">
        <v>0</v>
      </c>
      <c r="AD42">
        <v>0</v>
      </c>
      <c r="AE42">
        <v>0</v>
      </c>
      <c r="AF42">
        <v>1</v>
      </c>
      <c r="AG42">
        <v>0</v>
      </c>
      <c r="AJ42">
        <v>1</v>
      </c>
      <c r="AK42">
        <v>1</v>
      </c>
      <c r="AL42">
        <v>1</v>
      </c>
      <c r="AM42">
        <v>0</v>
      </c>
    </row>
    <row r="43" spans="1:39" x14ac:dyDescent="0.3">
      <c r="A43" t="s">
        <v>257</v>
      </c>
      <c r="B43" t="s">
        <v>202</v>
      </c>
      <c r="C43" t="s">
        <v>84</v>
      </c>
      <c r="E43">
        <v>0</v>
      </c>
      <c r="F43">
        <v>0</v>
      </c>
      <c r="G43" t="s">
        <v>94</v>
      </c>
      <c r="H43">
        <v>0</v>
      </c>
      <c r="I43">
        <v>2181.1295834738398</v>
      </c>
      <c r="K43">
        <v>0</v>
      </c>
      <c r="L43">
        <v>1</v>
      </c>
      <c r="N43" t="e">
        <f>-inf</f>
        <v>#NAME?</v>
      </c>
      <c r="O43" t="s">
        <v>8</v>
      </c>
      <c r="P43">
        <v>0</v>
      </c>
      <c r="Q43">
        <v>1</v>
      </c>
      <c r="R43" t="s">
        <v>39</v>
      </c>
      <c r="S43">
        <v>1.4999999999999999E-2</v>
      </c>
      <c r="T43">
        <v>0</v>
      </c>
      <c r="U43" t="s">
        <v>94</v>
      </c>
      <c r="V43">
        <v>0</v>
      </c>
      <c r="W43">
        <v>30</v>
      </c>
      <c r="X43">
        <v>204891.868927681</v>
      </c>
      <c r="Y43">
        <v>1</v>
      </c>
      <c r="Z43" t="s">
        <v>126</v>
      </c>
      <c r="AA43">
        <v>0</v>
      </c>
      <c r="AB43">
        <v>0</v>
      </c>
      <c r="AC43">
        <v>0</v>
      </c>
      <c r="AD43">
        <v>0</v>
      </c>
      <c r="AE43">
        <v>0</v>
      </c>
      <c r="AF43">
        <v>1</v>
      </c>
      <c r="AG43">
        <v>0</v>
      </c>
      <c r="AJ43">
        <v>1</v>
      </c>
      <c r="AK43">
        <v>1</v>
      </c>
      <c r="AL43">
        <v>1</v>
      </c>
      <c r="AM43">
        <v>0</v>
      </c>
    </row>
    <row r="44" spans="1:39" x14ac:dyDescent="0.3">
      <c r="A44" t="s">
        <v>258</v>
      </c>
      <c r="B44" t="s">
        <v>203</v>
      </c>
      <c r="C44" t="s">
        <v>84</v>
      </c>
      <c r="E44">
        <v>0</v>
      </c>
      <c r="F44">
        <v>0</v>
      </c>
      <c r="G44" t="s">
        <v>94</v>
      </c>
      <c r="H44">
        <v>0</v>
      </c>
      <c r="I44">
        <v>1428.7537183120501</v>
      </c>
      <c r="K44">
        <v>0</v>
      </c>
      <c r="L44">
        <v>1</v>
      </c>
      <c r="N44" t="e">
        <f>-inf</f>
        <v>#NAME?</v>
      </c>
      <c r="O44" t="s">
        <v>8</v>
      </c>
      <c r="P44">
        <v>0</v>
      </c>
      <c r="Q44">
        <v>1</v>
      </c>
      <c r="R44" t="s">
        <v>39</v>
      </c>
      <c r="S44">
        <v>1.4999999999999999E-2</v>
      </c>
      <c r="T44">
        <v>0</v>
      </c>
      <c r="U44" t="s">
        <v>94</v>
      </c>
      <c r="V44">
        <v>0</v>
      </c>
      <c r="W44">
        <v>30</v>
      </c>
      <c r="X44">
        <v>242204.89268335199</v>
      </c>
      <c r="Y44">
        <v>1</v>
      </c>
      <c r="Z44" t="s">
        <v>126</v>
      </c>
      <c r="AA44">
        <v>0</v>
      </c>
      <c r="AB44">
        <v>0</v>
      </c>
      <c r="AC44">
        <v>0</v>
      </c>
      <c r="AD44">
        <v>0</v>
      </c>
      <c r="AE44">
        <v>0</v>
      </c>
      <c r="AF44">
        <v>1</v>
      </c>
      <c r="AG44">
        <v>0</v>
      </c>
      <c r="AJ44">
        <v>1</v>
      </c>
      <c r="AK44">
        <v>1</v>
      </c>
      <c r="AL44">
        <v>1</v>
      </c>
      <c r="AM44">
        <v>0</v>
      </c>
    </row>
    <row r="45" spans="1:39" x14ac:dyDescent="0.3">
      <c r="A45" t="s">
        <v>144</v>
      </c>
      <c r="B45" t="s">
        <v>79</v>
      </c>
      <c r="C45" t="s">
        <v>84</v>
      </c>
      <c r="E45">
        <v>1112</v>
      </c>
      <c r="F45">
        <v>0</v>
      </c>
      <c r="G45" t="s">
        <v>126</v>
      </c>
      <c r="H45">
        <v>0</v>
      </c>
      <c r="I45" t="s">
        <v>8</v>
      </c>
      <c r="K45">
        <v>0</v>
      </c>
      <c r="L45">
        <v>1</v>
      </c>
      <c r="N45" t="e">
        <f>-inf</f>
        <v>#NAME?</v>
      </c>
      <c r="O45" t="s">
        <v>8</v>
      </c>
      <c r="P45">
        <v>0</v>
      </c>
      <c r="Q45">
        <v>1</v>
      </c>
      <c r="R45" t="s">
        <v>45</v>
      </c>
      <c r="S45">
        <v>0</v>
      </c>
      <c r="T45">
        <v>0</v>
      </c>
      <c r="U45" t="s">
        <v>94</v>
      </c>
      <c r="V45">
        <v>0</v>
      </c>
      <c r="W45" t="s">
        <v>8</v>
      </c>
      <c r="X45">
        <v>308170.371903455</v>
      </c>
      <c r="Y45">
        <v>0.9</v>
      </c>
      <c r="Z45" t="s">
        <v>126</v>
      </c>
      <c r="AA45">
        <v>0</v>
      </c>
      <c r="AB45">
        <v>0</v>
      </c>
      <c r="AC45">
        <v>0</v>
      </c>
      <c r="AD45">
        <v>0</v>
      </c>
      <c r="AE45">
        <v>0</v>
      </c>
      <c r="AF45">
        <v>1</v>
      </c>
      <c r="AG45">
        <v>0</v>
      </c>
      <c r="AJ45">
        <v>1</v>
      </c>
      <c r="AK45">
        <v>1</v>
      </c>
      <c r="AL45">
        <v>1112</v>
      </c>
      <c r="AM45">
        <v>0</v>
      </c>
    </row>
    <row r="46" spans="1:39" x14ac:dyDescent="0.3">
      <c r="A46" t="s">
        <v>259</v>
      </c>
      <c r="B46" t="s">
        <v>201</v>
      </c>
      <c r="C46" t="s">
        <v>84</v>
      </c>
      <c r="E46">
        <v>2439.48</v>
      </c>
      <c r="F46">
        <v>0</v>
      </c>
      <c r="G46" t="s">
        <v>126</v>
      </c>
      <c r="H46">
        <v>0</v>
      </c>
      <c r="I46" t="s">
        <v>8</v>
      </c>
      <c r="K46">
        <v>0</v>
      </c>
      <c r="L46">
        <v>1</v>
      </c>
      <c r="N46" t="e">
        <f>-inf</f>
        <v>#NAME?</v>
      </c>
      <c r="O46" t="s">
        <v>8</v>
      </c>
      <c r="P46">
        <v>0</v>
      </c>
      <c r="Q46">
        <v>1</v>
      </c>
      <c r="R46" t="s">
        <v>45</v>
      </c>
      <c r="S46">
        <v>0</v>
      </c>
      <c r="T46">
        <v>0</v>
      </c>
      <c r="U46" t="s">
        <v>94</v>
      </c>
      <c r="V46">
        <v>0</v>
      </c>
      <c r="W46" t="s">
        <v>8</v>
      </c>
      <c r="X46">
        <v>308170.371903455</v>
      </c>
      <c r="Y46">
        <v>0.9</v>
      </c>
      <c r="Z46" t="s">
        <v>126</v>
      </c>
      <c r="AA46">
        <v>0</v>
      </c>
      <c r="AB46">
        <v>0</v>
      </c>
      <c r="AC46">
        <v>0</v>
      </c>
      <c r="AD46">
        <v>0</v>
      </c>
      <c r="AE46">
        <v>0</v>
      </c>
      <c r="AF46">
        <v>1</v>
      </c>
      <c r="AG46">
        <v>0</v>
      </c>
      <c r="AJ46">
        <v>1</v>
      </c>
      <c r="AK46">
        <v>1</v>
      </c>
      <c r="AL46">
        <v>2439.48</v>
      </c>
      <c r="AM46">
        <v>0</v>
      </c>
    </row>
    <row r="47" spans="1:39" x14ac:dyDescent="0.3">
      <c r="A47" t="s">
        <v>260</v>
      </c>
      <c r="B47" t="s">
        <v>202</v>
      </c>
      <c r="C47" t="s">
        <v>84</v>
      </c>
      <c r="E47">
        <v>3281.06</v>
      </c>
      <c r="F47">
        <v>0</v>
      </c>
      <c r="G47" t="s">
        <v>126</v>
      </c>
      <c r="H47">
        <v>0</v>
      </c>
      <c r="I47" t="s">
        <v>8</v>
      </c>
      <c r="K47">
        <v>0</v>
      </c>
      <c r="L47">
        <v>1</v>
      </c>
      <c r="N47" t="e">
        <f>-inf</f>
        <v>#NAME?</v>
      </c>
      <c r="O47" t="s">
        <v>8</v>
      </c>
      <c r="P47">
        <v>0</v>
      </c>
      <c r="Q47">
        <v>1</v>
      </c>
      <c r="R47" t="s">
        <v>45</v>
      </c>
      <c r="S47">
        <v>0</v>
      </c>
      <c r="T47">
        <v>0</v>
      </c>
      <c r="U47" t="s">
        <v>94</v>
      </c>
      <c r="V47">
        <v>0</v>
      </c>
      <c r="W47" t="s">
        <v>8</v>
      </c>
      <c r="X47">
        <v>308170.371903455</v>
      </c>
      <c r="Y47">
        <v>0.9</v>
      </c>
      <c r="Z47" t="s">
        <v>126</v>
      </c>
      <c r="AA47">
        <v>0</v>
      </c>
      <c r="AB47">
        <v>0</v>
      </c>
      <c r="AC47">
        <v>0</v>
      </c>
      <c r="AD47">
        <v>0</v>
      </c>
      <c r="AE47">
        <v>0</v>
      </c>
      <c r="AF47">
        <v>1</v>
      </c>
      <c r="AG47">
        <v>0</v>
      </c>
      <c r="AJ47">
        <v>1</v>
      </c>
      <c r="AK47">
        <v>1</v>
      </c>
      <c r="AL47">
        <v>3281.06</v>
      </c>
      <c r="AM47">
        <v>0</v>
      </c>
    </row>
    <row r="48" spans="1:39" x14ac:dyDescent="0.3">
      <c r="A48" t="s">
        <v>261</v>
      </c>
      <c r="B48" t="s">
        <v>203</v>
      </c>
      <c r="C48" t="s">
        <v>84</v>
      </c>
      <c r="E48">
        <v>652</v>
      </c>
      <c r="F48">
        <v>0</v>
      </c>
      <c r="G48" t="s">
        <v>126</v>
      </c>
      <c r="H48">
        <v>0</v>
      </c>
      <c r="I48" t="s">
        <v>8</v>
      </c>
      <c r="K48">
        <v>0</v>
      </c>
      <c r="L48">
        <v>1</v>
      </c>
      <c r="N48" t="e">
        <f>-inf</f>
        <v>#NAME?</v>
      </c>
      <c r="O48" t="s">
        <v>8</v>
      </c>
      <c r="P48">
        <v>0</v>
      </c>
      <c r="Q48">
        <v>1</v>
      </c>
      <c r="R48" t="s">
        <v>45</v>
      </c>
      <c r="S48">
        <v>0</v>
      </c>
      <c r="T48">
        <v>0</v>
      </c>
      <c r="U48" t="s">
        <v>94</v>
      </c>
      <c r="V48">
        <v>0</v>
      </c>
      <c r="W48" t="s">
        <v>8</v>
      </c>
      <c r="X48">
        <v>308170.371903455</v>
      </c>
      <c r="Y48">
        <v>0.9</v>
      </c>
      <c r="Z48" t="s">
        <v>126</v>
      </c>
      <c r="AA48">
        <v>0</v>
      </c>
      <c r="AB48">
        <v>0</v>
      </c>
      <c r="AC48">
        <v>0</v>
      </c>
      <c r="AD48">
        <v>0</v>
      </c>
      <c r="AE48">
        <v>0</v>
      </c>
      <c r="AF48">
        <v>1</v>
      </c>
      <c r="AG48">
        <v>0</v>
      </c>
      <c r="AJ48">
        <v>1</v>
      </c>
      <c r="AK48">
        <v>1</v>
      </c>
      <c r="AL48">
        <v>652</v>
      </c>
      <c r="AM48">
        <v>0</v>
      </c>
    </row>
    <row r="49" spans="1:39" x14ac:dyDescent="0.3">
      <c r="A49" t="s">
        <v>145</v>
      </c>
      <c r="B49" t="s">
        <v>82</v>
      </c>
      <c r="C49" t="s">
        <v>84</v>
      </c>
      <c r="E49">
        <v>60</v>
      </c>
      <c r="F49">
        <v>0</v>
      </c>
      <c r="G49" t="s">
        <v>126</v>
      </c>
      <c r="H49">
        <v>0</v>
      </c>
      <c r="I49" t="s">
        <v>8</v>
      </c>
      <c r="K49">
        <v>0</v>
      </c>
      <c r="L49">
        <v>1</v>
      </c>
      <c r="N49" t="e">
        <f>-inf</f>
        <v>#NAME?</v>
      </c>
      <c r="O49" t="s">
        <v>8</v>
      </c>
      <c r="P49">
        <v>0</v>
      </c>
      <c r="Q49">
        <v>1</v>
      </c>
      <c r="R49" t="s">
        <v>45</v>
      </c>
      <c r="S49">
        <v>0</v>
      </c>
      <c r="T49">
        <v>0</v>
      </c>
      <c r="U49" t="s">
        <v>94</v>
      </c>
      <c r="V49">
        <v>0</v>
      </c>
      <c r="W49" t="s">
        <v>8</v>
      </c>
      <c r="X49">
        <v>308170.371903455</v>
      </c>
      <c r="Y49">
        <v>0.9</v>
      </c>
      <c r="Z49" t="s">
        <v>126</v>
      </c>
      <c r="AA49">
        <v>0</v>
      </c>
      <c r="AB49">
        <v>0</v>
      </c>
      <c r="AC49">
        <v>0</v>
      </c>
      <c r="AD49">
        <v>0</v>
      </c>
      <c r="AE49">
        <v>0</v>
      </c>
      <c r="AF49">
        <v>1</v>
      </c>
      <c r="AG49">
        <v>0</v>
      </c>
      <c r="AJ49">
        <v>1</v>
      </c>
      <c r="AK49">
        <v>1</v>
      </c>
      <c r="AL49">
        <v>60</v>
      </c>
      <c r="AM49">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25"/>
  <sheetViews>
    <sheetView workbookViewId="0">
      <selection activeCell="A2" sqref="A2"/>
    </sheetView>
  </sheetViews>
  <sheetFormatPr defaultRowHeight="14.4" x14ac:dyDescent="0.3"/>
  <sheetData>
    <row r="1" spans="1:45" x14ac:dyDescent="0.3">
      <c r="A1" t="s">
        <v>146</v>
      </c>
      <c r="B1" t="s">
        <v>147</v>
      </c>
      <c r="C1" t="s">
        <v>148</v>
      </c>
      <c r="D1" t="s">
        <v>64</v>
      </c>
      <c r="E1" t="s">
        <v>67</v>
      </c>
      <c r="F1" t="s">
        <v>110</v>
      </c>
      <c r="G1" t="s">
        <v>93</v>
      </c>
      <c r="H1" t="s">
        <v>107</v>
      </c>
      <c r="I1" t="s">
        <v>108</v>
      </c>
      <c r="J1" t="s">
        <v>96</v>
      </c>
      <c r="K1" t="s">
        <v>97</v>
      </c>
      <c r="L1" t="s">
        <v>98</v>
      </c>
      <c r="M1" t="s">
        <v>99</v>
      </c>
      <c r="N1" t="s">
        <v>100</v>
      </c>
      <c r="O1" t="s">
        <v>233</v>
      </c>
      <c r="P1" t="s">
        <v>90</v>
      </c>
      <c r="Q1" t="s">
        <v>101</v>
      </c>
      <c r="R1" t="s">
        <v>102</v>
      </c>
      <c r="S1" t="s">
        <v>109</v>
      </c>
      <c r="T1" t="s">
        <v>105</v>
      </c>
      <c r="U1" t="s">
        <v>106</v>
      </c>
      <c r="V1" t="s">
        <v>114</v>
      </c>
      <c r="W1" t="s">
        <v>149</v>
      </c>
      <c r="X1" t="s">
        <v>150</v>
      </c>
      <c r="Y1" t="s">
        <v>111</v>
      </c>
      <c r="Z1" t="s">
        <v>112</v>
      </c>
      <c r="AA1" t="s">
        <v>113</v>
      </c>
      <c r="AB1" t="s">
        <v>115</v>
      </c>
      <c r="AC1" t="s">
        <v>116</v>
      </c>
      <c r="AD1" t="s">
        <v>117</v>
      </c>
      <c r="AE1" t="s">
        <v>118</v>
      </c>
      <c r="AF1" t="s">
        <v>119</v>
      </c>
      <c r="AG1" t="s">
        <v>120</v>
      </c>
      <c r="AH1" t="s">
        <v>121</v>
      </c>
      <c r="AI1" t="s">
        <v>122</v>
      </c>
      <c r="AJ1" t="s">
        <v>124</v>
      </c>
      <c r="AK1" t="s">
        <v>153</v>
      </c>
      <c r="AL1" t="s">
        <v>155</v>
      </c>
      <c r="AM1" t="s">
        <v>154</v>
      </c>
      <c r="AN1" t="s">
        <v>157</v>
      </c>
      <c r="AO1" t="s">
        <v>151</v>
      </c>
      <c r="AP1" t="s">
        <v>152</v>
      </c>
      <c r="AQ1" t="s">
        <v>158</v>
      </c>
      <c r="AR1" t="s">
        <v>156</v>
      </c>
      <c r="AS1" t="s">
        <v>159</v>
      </c>
    </row>
    <row r="2" spans="1:45" x14ac:dyDescent="0.3">
      <c r="A2" t="s">
        <v>160</v>
      </c>
      <c r="B2" t="s">
        <v>82</v>
      </c>
      <c r="C2" t="s">
        <v>79</v>
      </c>
      <c r="E2" t="s">
        <v>9</v>
      </c>
      <c r="F2">
        <v>1</v>
      </c>
      <c r="G2" t="s">
        <v>94</v>
      </c>
      <c r="H2">
        <v>0</v>
      </c>
      <c r="I2" t="s">
        <v>8</v>
      </c>
      <c r="J2">
        <v>1000</v>
      </c>
      <c r="K2">
        <v>0</v>
      </c>
      <c r="L2" t="s">
        <v>94</v>
      </c>
      <c r="M2">
        <v>1000</v>
      </c>
      <c r="N2">
        <v>31000</v>
      </c>
      <c r="Q2">
        <v>-1</v>
      </c>
      <c r="R2">
        <v>1</v>
      </c>
      <c r="S2">
        <v>51834.552688776697</v>
      </c>
      <c r="T2">
        <v>0</v>
      </c>
      <c r="U2">
        <v>0</v>
      </c>
      <c r="V2">
        <v>0</v>
      </c>
      <c r="W2">
        <v>464.11805078820299</v>
      </c>
      <c r="X2">
        <v>1</v>
      </c>
      <c r="Y2" t="s">
        <v>126</v>
      </c>
      <c r="Z2">
        <v>0</v>
      </c>
      <c r="AA2">
        <v>0</v>
      </c>
      <c r="AB2">
        <v>0</v>
      </c>
      <c r="AC2">
        <v>0</v>
      </c>
      <c r="AD2">
        <v>1</v>
      </c>
      <c r="AE2">
        <v>0</v>
      </c>
      <c r="AH2">
        <v>1</v>
      </c>
      <c r="AI2">
        <v>1</v>
      </c>
      <c r="AJ2">
        <v>0</v>
      </c>
      <c r="AK2">
        <v>1</v>
      </c>
      <c r="AL2">
        <v>0</v>
      </c>
      <c r="AN2">
        <v>500</v>
      </c>
      <c r="AO2" t="s">
        <v>161</v>
      </c>
      <c r="AP2" t="s">
        <v>162</v>
      </c>
      <c r="AQ2">
        <v>0.96184305038492401</v>
      </c>
      <c r="AR2">
        <v>1</v>
      </c>
      <c r="AS2">
        <v>2</v>
      </c>
    </row>
    <row r="3" spans="1:45" x14ac:dyDescent="0.3">
      <c r="A3" t="s">
        <v>262</v>
      </c>
      <c r="B3" t="s">
        <v>201</v>
      </c>
      <c r="C3" t="s">
        <v>79</v>
      </c>
      <c r="E3" t="s">
        <v>9</v>
      </c>
      <c r="F3">
        <v>1</v>
      </c>
      <c r="G3" t="s">
        <v>94</v>
      </c>
      <c r="H3">
        <v>2030</v>
      </c>
      <c r="I3" t="s">
        <v>8</v>
      </c>
      <c r="J3">
        <v>0</v>
      </c>
      <c r="K3">
        <v>0</v>
      </c>
      <c r="L3" t="s">
        <v>94</v>
      </c>
      <c r="M3">
        <v>0</v>
      </c>
      <c r="N3">
        <v>30000</v>
      </c>
      <c r="Q3">
        <v>0</v>
      </c>
      <c r="R3">
        <v>1</v>
      </c>
      <c r="S3">
        <v>40200.711004008197</v>
      </c>
      <c r="T3">
        <v>0</v>
      </c>
      <c r="U3">
        <v>0</v>
      </c>
      <c r="V3">
        <v>0</v>
      </c>
      <c r="W3">
        <v>581.98946119671598</v>
      </c>
      <c r="X3">
        <v>1</v>
      </c>
      <c r="Y3" t="s">
        <v>126</v>
      </c>
      <c r="Z3">
        <v>0</v>
      </c>
      <c r="AA3">
        <v>0</v>
      </c>
      <c r="AB3">
        <v>0</v>
      </c>
      <c r="AC3">
        <v>0</v>
      </c>
      <c r="AD3">
        <v>1</v>
      </c>
      <c r="AE3">
        <v>0</v>
      </c>
      <c r="AH3">
        <v>1</v>
      </c>
      <c r="AI3">
        <v>1</v>
      </c>
      <c r="AJ3">
        <v>0</v>
      </c>
      <c r="AL3">
        <v>1</v>
      </c>
      <c r="AM3" t="s">
        <v>263</v>
      </c>
      <c r="AO3" t="s">
        <v>264</v>
      </c>
      <c r="AP3" t="s">
        <v>265</v>
      </c>
      <c r="AQ3">
        <v>0</v>
      </c>
      <c r="AS3">
        <v>3</v>
      </c>
    </row>
    <row r="4" spans="1:45" x14ac:dyDescent="0.3">
      <c r="A4" t="s">
        <v>266</v>
      </c>
      <c r="B4" t="s">
        <v>202</v>
      </c>
      <c r="C4" t="s">
        <v>79</v>
      </c>
      <c r="E4" t="s">
        <v>9</v>
      </c>
      <c r="F4">
        <v>1</v>
      </c>
      <c r="G4" t="s">
        <v>94</v>
      </c>
      <c r="H4">
        <v>2036</v>
      </c>
      <c r="I4" t="s">
        <v>8</v>
      </c>
      <c r="J4">
        <v>0</v>
      </c>
      <c r="K4">
        <v>0</v>
      </c>
      <c r="L4" t="s">
        <v>94</v>
      </c>
      <c r="M4">
        <v>0</v>
      </c>
      <c r="N4">
        <v>30000</v>
      </c>
      <c r="Q4">
        <v>0</v>
      </c>
      <c r="R4">
        <v>1</v>
      </c>
      <c r="S4">
        <v>41866.645154782404</v>
      </c>
      <c r="T4">
        <v>0</v>
      </c>
      <c r="U4">
        <v>0</v>
      </c>
      <c r="V4">
        <v>0</v>
      </c>
      <c r="W4">
        <v>481.20245199440097</v>
      </c>
      <c r="X4">
        <v>1</v>
      </c>
      <c r="Y4" t="s">
        <v>126</v>
      </c>
      <c r="Z4">
        <v>0</v>
      </c>
      <c r="AA4">
        <v>0</v>
      </c>
      <c r="AB4">
        <v>0</v>
      </c>
      <c r="AC4">
        <v>0</v>
      </c>
      <c r="AD4">
        <v>1</v>
      </c>
      <c r="AE4">
        <v>0</v>
      </c>
      <c r="AH4">
        <v>1</v>
      </c>
      <c r="AI4">
        <v>1</v>
      </c>
      <c r="AJ4">
        <v>0</v>
      </c>
      <c r="AL4">
        <v>1</v>
      </c>
      <c r="AM4" t="s">
        <v>263</v>
      </c>
      <c r="AO4" t="s">
        <v>267</v>
      </c>
      <c r="AP4" t="s">
        <v>268</v>
      </c>
      <c r="AQ4">
        <v>0.33</v>
      </c>
      <c r="AS4">
        <v>0</v>
      </c>
    </row>
    <row r="5" spans="1:45" x14ac:dyDescent="0.3">
      <c r="A5" t="s">
        <v>269</v>
      </c>
      <c r="B5" t="s">
        <v>203</v>
      </c>
      <c r="C5" t="s">
        <v>79</v>
      </c>
      <c r="E5" t="s">
        <v>9</v>
      </c>
      <c r="F5">
        <v>1</v>
      </c>
      <c r="G5" t="s">
        <v>94</v>
      </c>
      <c r="H5">
        <v>2035</v>
      </c>
      <c r="I5" t="s">
        <v>8</v>
      </c>
      <c r="J5">
        <v>0</v>
      </c>
      <c r="K5">
        <v>0</v>
      </c>
      <c r="L5" t="s">
        <v>94</v>
      </c>
      <c r="M5">
        <v>0</v>
      </c>
      <c r="N5">
        <v>30000</v>
      </c>
      <c r="Q5">
        <v>0</v>
      </c>
      <c r="R5">
        <v>1</v>
      </c>
      <c r="S5">
        <v>34363.956821150801</v>
      </c>
      <c r="T5">
        <v>0</v>
      </c>
      <c r="U5">
        <v>0</v>
      </c>
      <c r="V5">
        <v>0</v>
      </c>
      <c r="W5">
        <v>303.474463238868</v>
      </c>
      <c r="X5">
        <v>1</v>
      </c>
      <c r="Y5" t="s">
        <v>126</v>
      </c>
      <c r="Z5">
        <v>0</v>
      </c>
      <c r="AA5">
        <v>0</v>
      </c>
      <c r="AB5">
        <v>0</v>
      </c>
      <c r="AC5">
        <v>0</v>
      </c>
      <c r="AD5">
        <v>1</v>
      </c>
      <c r="AE5">
        <v>0</v>
      </c>
      <c r="AH5">
        <v>1</v>
      </c>
      <c r="AI5">
        <v>1</v>
      </c>
      <c r="AJ5">
        <v>0</v>
      </c>
      <c r="AL5">
        <v>1</v>
      </c>
      <c r="AM5" t="s">
        <v>263</v>
      </c>
      <c r="AO5" t="s">
        <v>270</v>
      </c>
      <c r="AP5" t="s">
        <v>271</v>
      </c>
      <c r="AQ5">
        <v>0.52</v>
      </c>
      <c r="AS5">
        <v>1</v>
      </c>
    </row>
    <row r="6" spans="1:45" x14ac:dyDescent="0.3">
      <c r="A6" t="s">
        <v>163</v>
      </c>
      <c r="B6" t="s">
        <v>79</v>
      </c>
      <c r="C6" t="s">
        <v>83</v>
      </c>
      <c r="E6" t="s">
        <v>58</v>
      </c>
      <c r="F6">
        <v>0.69940000000000002</v>
      </c>
      <c r="G6" t="s">
        <v>94</v>
      </c>
      <c r="H6">
        <v>0</v>
      </c>
      <c r="I6" t="s">
        <v>8</v>
      </c>
      <c r="J6">
        <v>0</v>
      </c>
      <c r="K6">
        <v>0</v>
      </c>
      <c r="L6" t="s">
        <v>94</v>
      </c>
      <c r="M6">
        <v>0</v>
      </c>
      <c r="N6" t="s">
        <v>8</v>
      </c>
      <c r="Q6">
        <v>0</v>
      </c>
      <c r="R6">
        <v>1</v>
      </c>
      <c r="S6">
        <v>125810.517220665</v>
      </c>
      <c r="T6">
        <v>0</v>
      </c>
      <c r="U6">
        <v>0</v>
      </c>
      <c r="V6">
        <v>0</v>
      </c>
      <c r="W6">
        <v>0</v>
      </c>
      <c r="X6">
        <v>1</v>
      </c>
      <c r="Y6" t="s">
        <v>126</v>
      </c>
      <c r="Z6">
        <v>0</v>
      </c>
      <c r="AA6">
        <v>0</v>
      </c>
      <c r="AB6">
        <v>0</v>
      </c>
      <c r="AC6">
        <v>0</v>
      </c>
      <c r="AD6">
        <v>1</v>
      </c>
      <c r="AE6">
        <v>0</v>
      </c>
      <c r="AH6">
        <v>1</v>
      </c>
      <c r="AI6">
        <v>1</v>
      </c>
      <c r="AJ6">
        <v>0</v>
      </c>
      <c r="AS6">
        <v>4</v>
      </c>
    </row>
    <row r="7" spans="1:45" x14ac:dyDescent="0.3">
      <c r="A7" t="s">
        <v>272</v>
      </c>
      <c r="B7" t="s">
        <v>201</v>
      </c>
      <c r="C7" t="s">
        <v>204</v>
      </c>
      <c r="E7" t="s">
        <v>58</v>
      </c>
      <c r="F7">
        <v>0.69940000000000002</v>
      </c>
      <c r="G7" t="s">
        <v>94</v>
      </c>
      <c r="H7">
        <v>0</v>
      </c>
      <c r="I7" t="s">
        <v>8</v>
      </c>
      <c r="J7">
        <v>0</v>
      </c>
      <c r="K7">
        <v>0</v>
      </c>
      <c r="L7" t="s">
        <v>94</v>
      </c>
      <c r="M7">
        <v>0</v>
      </c>
      <c r="N7" t="s">
        <v>8</v>
      </c>
      <c r="Q7">
        <v>0</v>
      </c>
      <c r="R7">
        <v>1</v>
      </c>
      <c r="S7">
        <v>125810.517220665</v>
      </c>
      <c r="T7">
        <v>0</v>
      </c>
      <c r="U7">
        <v>0</v>
      </c>
      <c r="V7">
        <v>0</v>
      </c>
      <c r="W7">
        <v>0</v>
      </c>
      <c r="X7">
        <v>1</v>
      </c>
      <c r="Y7" t="s">
        <v>126</v>
      </c>
      <c r="Z7">
        <v>0</v>
      </c>
      <c r="AA7">
        <v>0</v>
      </c>
      <c r="AB7">
        <v>0</v>
      </c>
      <c r="AC7">
        <v>0</v>
      </c>
      <c r="AD7">
        <v>1</v>
      </c>
      <c r="AE7">
        <v>0</v>
      </c>
      <c r="AH7">
        <v>1</v>
      </c>
      <c r="AI7">
        <v>1</v>
      </c>
      <c r="AJ7">
        <v>0</v>
      </c>
      <c r="AS7">
        <v>5</v>
      </c>
    </row>
    <row r="8" spans="1:45" x14ac:dyDescent="0.3">
      <c r="A8" t="s">
        <v>273</v>
      </c>
      <c r="B8" t="s">
        <v>202</v>
      </c>
      <c r="C8" t="s">
        <v>205</v>
      </c>
      <c r="E8" t="s">
        <v>58</v>
      </c>
      <c r="F8">
        <v>0.69940000000000002</v>
      </c>
      <c r="G8" t="s">
        <v>94</v>
      </c>
      <c r="H8">
        <v>0</v>
      </c>
      <c r="I8" t="s">
        <v>8</v>
      </c>
      <c r="J8">
        <v>0</v>
      </c>
      <c r="K8">
        <v>0</v>
      </c>
      <c r="L8" t="s">
        <v>94</v>
      </c>
      <c r="M8">
        <v>0</v>
      </c>
      <c r="N8" t="s">
        <v>8</v>
      </c>
      <c r="Q8">
        <v>0</v>
      </c>
      <c r="R8">
        <v>1</v>
      </c>
      <c r="S8">
        <v>125810.517220665</v>
      </c>
      <c r="T8">
        <v>0</v>
      </c>
      <c r="U8">
        <v>0</v>
      </c>
      <c r="V8">
        <v>0</v>
      </c>
      <c r="W8">
        <v>0</v>
      </c>
      <c r="X8">
        <v>1</v>
      </c>
      <c r="Y8" t="s">
        <v>126</v>
      </c>
      <c r="Z8">
        <v>0</v>
      </c>
      <c r="AA8">
        <v>0</v>
      </c>
      <c r="AB8">
        <v>0</v>
      </c>
      <c r="AC8">
        <v>0</v>
      </c>
      <c r="AD8">
        <v>1</v>
      </c>
      <c r="AE8">
        <v>0</v>
      </c>
      <c r="AH8">
        <v>1</v>
      </c>
      <c r="AI8">
        <v>1</v>
      </c>
      <c r="AJ8">
        <v>0</v>
      </c>
      <c r="AS8">
        <v>0</v>
      </c>
    </row>
    <row r="9" spans="1:45" x14ac:dyDescent="0.3">
      <c r="A9" t="s">
        <v>274</v>
      </c>
      <c r="B9" t="s">
        <v>203</v>
      </c>
      <c r="C9" t="s">
        <v>206</v>
      </c>
      <c r="E9" t="s">
        <v>58</v>
      </c>
      <c r="F9">
        <v>0.69940000000000002</v>
      </c>
      <c r="G9" t="s">
        <v>94</v>
      </c>
      <c r="H9">
        <v>0</v>
      </c>
      <c r="I9" t="s">
        <v>8</v>
      </c>
      <c r="J9">
        <v>0</v>
      </c>
      <c r="K9">
        <v>0</v>
      </c>
      <c r="L9" t="s">
        <v>94</v>
      </c>
      <c r="M9">
        <v>0</v>
      </c>
      <c r="N9" t="s">
        <v>8</v>
      </c>
      <c r="Q9">
        <v>0</v>
      </c>
      <c r="R9">
        <v>1</v>
      </c>
      <c r="S9">
        <v>125810.517220665</v>
      </c>
      <c r="T9">
        <v>0</v>
      </c>
      <c r="U9">
        <v>0</v>
      </c>
      <c r="V9">
        <v>0</v>
      </c>
      <c r="W9">
        <v>0</v>
      </c>
      <c r="X9">
        <v>1</v>
      </c>
      <c r="Y9" t="s">
        <v>126</v>
      </c>
      <c r="Z9">
        <v>0</v>
      </c>
      <c r="AA9">
        <v>0</v>
      </c>
      <c r="AB9">
        <v>0</v>
      </c>
      <c r="AC9">
        <v>0</v>
      </c>
      <c r="AD9">
        <v>1</v>
      </c>
      <c r="AE9">
        <v>0</v>
      </c>
      <c r="AH9">
        <v>1</v>
      </c>
      <c r="AI9">
        <v>1</v>
      </c>
      <c r="AJ9">
        <v>0</v>
      </c>
      <c r="AS9">
        <v>1</v>
      </c>
    </row>
    <row r="10" spans="1:45" x14ac:dyDescent="0.3">
      <c r="A10" t="s">
        <v>164</v>
      </c>
      <c r="B10" t="s">
        <v>82</v>
      </c>
      <c r="C10" t="s">
        <v>85</v>
      </c>
      <c r="E10" t="s">
        <v>58</v>
      </c>
      <c r="F10">
        <v>0.69940000000000002</v>
      </c>
      <c r="G10" t="s">
        <v>94</v>
      </c>
      <c r="H10">
        <v>0</v>
      </c>
      <c r="I10" t="s">
        <v>8</v>
      </c>
      <c r="J10">
        <v>0</v>
      </c>
      <c r="K10">
        <v>0</v>
      </c>
      <c r="L10" t="s">
        <v>94</v>
      </c>
      <c r="M10">
        <v>0</v>
      </c>
      <c r="N10" t="s">
        <v>8</v>
      </c>
      <c r="Q10">
        <v>0</v>
      </c>
      <c r="R10">
        <v>1</v>
      </c>
      <c r="S10">
        <v>125810.517220665</v>
      </c>
      <c r="T10">
        <v>0</v>
      </c>
      <c r="U10">
        <v>0</v>
      </c>
      <c r="V10">
        <v>0</v>
      </c>
      <c r="W10">
        <v>0</v>
      </c>
      <c r="X10">
        <v>1</v>
      </c>
      <c r="Y10" t="s">
        <v>126</v>
      </c>
      <c r="Z10">
        <v>0</v>
      </c>
      <c r="AA10">
        <v>0</v>
      </c>
      <c r="AB10">
        <v>0</v>
      </c>
      <c r="AC10">
        <v>0</v>
      </c>
      <c r="AD10">
        <v>1</v>
      </c>
      <c r="AE10">
        <v>0</v>
      </c>
      <c r="AH10">
        <v>1</v>
      </c>
      <c r="AI10">
        <v>1</v>
      </c>
      <c r="AJ10">
        <v>0</v>
      </c>
    </row>
    <row r="11" spans="1:45" x14ac:dyDescent="0.3">
      <c r="A11" t="s">
        <v>165</v>
      </c>
      <c r="B11" t="s">
        <v>83</v>
      </c>
      <c r="C11" t="s">
        <v>79</v>
      </c>
      <c r="E11" t="s">
        <v>60</v>
      </c>
      <c r="F11">
        <v>0.5</v>
      </c>
      <c r="G11" t="s">
        <v>94</v>
      </c>
      <c r="H11">
        <v>0</v>
      </c>
      <c r="I11" t="s">
        <v>8</v>
      </c>
      <c r="J11">
        <v>0</v>
      </c>
      <c r="K11">
        <v>0</v>
      </c>
      <c r="L11" t="s">
        <v>94</v>
      </c>
      <c r="M11">
        <v>0</v>
      </c>
      <c r="N11" t="s">
        <v>8</v>
      </c>
      <c r="Q11">
        <v>0</v>
      </c>
      <c r="R11">
        <v>1</v>
      </c>
      <c r="S11">
        <v>81431.213419837499</v>
      </c>
      <c r="T11">
        <v>0</v>
      </c>
      <c r="U11">
        <v>0</v>
      </c>
      <c r="V11">
        <v>0</v>
      </c>
      <c r="W11">
        <v>0</v>
      </c>
      <c r="X11">
        <v>1</v>
      </c>
      <c r="Y11" t="s">
        <v>126</v>
      </c>
      <c r="Z11">
        <v>0</v>
      </c>
      <c r="AA11">
        <v>0</v>
      </c>
      <c r="AB11">
        <v>0</v>
      </c>
      <c r="AC11">
        <v>0</v>
      </c>
      <c r="AD11">
        <v>1</v>
      </c>
      <c r="AE11">
        <v>0</v>
      </c>
      <c r="AH11">
        <v>1</v>
      </c>
      <c r="AI11">
        <v>1</v>
      </c>
      <c r="AJ11">
        <v>0</v>
      </c>
    </row>
    <row r="12" spans="1:45" x14ac:dyDescent="0.3">
      <c r="A12" t="s">
        <v>275</v>
      </c>
      <c r="B12" t="s">
        <v>204</v>
      </c>
      <c r="C12" t="s">
        <v>201</v>
      </c>
      <c r="E12" t="s">
        <v>60</v>
      </c>
      <c r="F12">
        <v>0.5</v>
      </c>
      <c r="G12" t="s">
        <v>94</v>
      </c>
      <c r="H12">
        <v>0</v>
      </c>
      <c r="I12" t="s">
        <v>8</v>
      </c>
      <c r="J12">
        <v>0</v>
      </c>
      <c r="K12">
        <v>0</v>
      </c>
      <c r="L12" t="s">
        <v>94</v>
      </c>
      <c r="M12">
        <v>0</v>
      </c>
      <c r="N12" t="s">
        <v>8</v>
      </c>
      <c r="Q12">
        <v>0</v>
      </c>
      <c r="R12">
        <v>1</v>
      </c>
      <c r="S12">
        <v>81431.213419837499</v>
      </c>
      <c r="T12">
        <v>0</v>
      </c>
      <c r="U12">
        <v>0</v>
      </c>
      <c r="V12">
        <v>0</v>
      </c>
      <c r="W12">
        <v>0</v>
      </c>
      <c r="X12">
        <v>1</v>
      </c>
      <c r="Y12" t="s">
        <v>126</v>
      </c>
      <c r="Z12">
        <v>0</v>
      </c>
      <c r="AA12">
        <v>0</v>
      </c>
      <c r="AB12">
        <v>0</v>
      </c>
      <c r="AC12">
        <v>0</v>
      </c>
      <c r="AD12">
        <v>1</v>
      </c>
      <c r="AE12">
        <v>0</v>
      </c>
      <c r="AH12">
        <v>1</v>
      </c>
      <c r="AI12">
        <v>1</v>
      </c>
      <c r="AJ12">
        <v>0</v>
      </c>
    </row>
    <row r="13" spans="1:45" x14ac:dyDescent="0.3">
      <c r="A13" t="s">
        <v>276</v>
      </c>
      <c r="B13" t="s">
        <v>205</v>
      </c>
      <c r="C13" t="s">
        <v>202</v>
      </c>
      <c r="E13" t="s">
        <v>60</v>
      </c>
      <c r="F13">
        <v>0.5</v>
      </c>
      <c r="G13" t="s">
        <v>94</v>
      </c>
      <c r="H13">
        <v>0</v>
      </c>
      <c r="I13" t="s">
        <v>8</v>
      </c>
      <c r="J13">
        <v>0</v>
      </c>
      <c r="K13">
        <v>0</v>
      </c>
      <c r="L13" t="s">
        <v>94</v>
      </c>
      <c r="M13">
        <v>0</v>
      </c>
      <c r="N13" t="s">
        <v>8</v>
      </c>
      <c r="Q13">
        <v>0</v>
      </c>
      <c r="R13">
        <v>1</v>
      </c>
      <c r="S13">
        <v>81431.213419837499</v>
      </c>
      <c r="T13">
        <v>0</v>
      </c>
      <c r="U13">
        <v>0</v>
      </c>
      <c r="V13">
        <v>0</v>
      </c>
      <c r="W13">
        <v>0</v>
      </c>
      <c r="X13">
        <v>1</v>
      </c>
      <c r="Y13" t="s">
        <v>126</v>
      </c>
      <c r="Z13">
        <v>0</v>
      </c>
      <c r="AA13">
        <v>0</v>
      </c>
      <c r="AB13">
        <v>0</v>
      </c>
      <c r="AC13">
        <v>0</v>
      </c>
      <c r="AD13">
        <v>1</v>
      </c>
      <c r="AE13">
        <v>0</v>
      </c>
      <c r="AH13">
        <v>1</v>
      </c>
      <c r="AI13">
        <v>1</v>
      </c>
      <c r="AJ13">
        <v>0</v>
      </c>
    </row>
    <row r="14" spans="1:45" x14ac:dyDescent="0.3">
      <c r="A14" t="s">
        <v>277</v>
      </c>
      <c r="B14" t="s">
        <v>206</v>
      </c>
      <c r="C14" t="s">
        <v>203</v>
      </c>
      <c r="E14" t="s">
        <v>60</v>
      </c>
      <c r="F14">
        <v>0.5</v>
      </c>
      <c r="G14" t="s">
        <v>94</v>
      </c>
      <c r="H14">
        <v>0</v>
      </c>
      <c r="I14" t="s">
        <v>8</v>
      </c>
      <c r="J14">
        <v>0</v>
      </c>
      <c r="K14">
        <v>0</v>
      </c>
      <c r="L14" t="s">
        <v>94</v>
      </c>
      <c r="M14">
        <v>0</v>
      </c>
      <c r="N14" t="s">
        <v>8</v>
      </c>
      <c r="Q14">
        <v>0</v>
      </c>
      <c r="R14">
        <v>1</v>
      </c>
      <c r="S14">
        <v>81431.213419837499</v>
      </c>
      <c r="T14">
        <v>0</v>
      </c>
      <c r="U14">
        <v>0</v>
      </c>
      <c r="V14">
        <v>0</v>
      </c>
      <c r="W14">
        <v>0</v>
      </c>
      <c r="X14">
        <v>1</v>
      </c>
      <c r="Y14" t="s">
        <v>126</v>
      </c>
      <c r="Z14">
        <v>0</v>
      </c>
      <c r="AA14">
        <v>0</v>
      </c>
      <c r="AB14">
        <v>0</v>
      </c>
      <c r="AC14">
        <v>0</v>
      </c>
      <c r="AD14">
        <v>1</v>
      </c>
      <c r="AE14">
        <v>0</v>
      </c>
      <c r="AH14">
        <v>1</v>
      </c>
      <c r="AI14">
        <v>1</v>
      </c>
      <c r="AJ14">
        <v>0</v>
      </c>
    </row>
    <row r="15" spans="1:45" x14ac:dyDescent="0.3">
      <c r="A15" t="s">
        <v>166</v>
      </c>
      <c r="B15" t="s">
        <v>85</v>
      </c>
      <c r="C15" t="s">
        <v>82</v>
      </c>
      <c r="E15" t="s">
        <v>60</v>
      </c>
      <c r="F15">
        <v>0.5</v>
      </c>
      <c r="G15" t="s">
        <v>94</v>
      </c>
      <c r="H15">
        <v>0</v>
      </c>
      <c r="I15" t="s">
        <v>8</v>
      </c>
      <c r="J15">
        <v>0</v>
      </c>
      <c r="K15">
        <v>0</v>
      </c>
      <c r="L15" t="s">
        <v>94</v>
      </c>
      <c r="M15">
        <v>0</v>
      </c>
      <c r="N15" t="s">
        <v>8</v>
      </c>
      <c r="Q15">
        <v>0</v>
      </c>
      <c r="R15">
        <v>1</v>
      </c>
      <c r="S15">
        <v>81431.213419837499</v>
      </c>
      <c r="T15">
        <v>0</v>
      </c>
      <c r="U15">
        <v>0</v>
      </c>
      <c r="V15">
        <v>0</v>
      </c>
      <c r="W15">
        <v>0</v>
      </c>
      <c r="X15">
        <v>1</v>
      </c>
      <c r="Y15" t="s">
        <v>126</v>
      </c>
      <c r="Z15">
        <v>0</v>
      </c>
      <c r="AA15">
        <v>0</v>
      </c>
      <c r="AB15">
        <v>0</v>
      </c>
      <c r="AC15">
        <v>0</v>
      </c>
      <c r="AD15">
        <v>1</v>
      </c>
      <c r="AE15">
        <v>0</v>
      </c>
      <c r="AH15">
        <v>1</v>
      </c>
      <c r="AI15">
        <v>1</v>
      </c>
      <c r="AJ15">
        <v>0</v>
      </c>
    </row>
    <row r="16" spans="1:45" x14ac:dyDescent="0.3">
      <c r="A16" t="s">
        <v>167</v>
      </c>
      <c r="B16" t="s">
        <v>79</v>
      </c>
      <c r="C16" t="s">
        <v>86</v>
      </c>
      <c r="E16" t="s">
        <v>54</v>
      </c>
      <c r="F16">
        <v>0.97979589711327097</v>
      </c>
      <c r="G16" t="s">
        <v>94</v>
      </c>
      <c r="H16">
        <v>0</v>
      </c>
      <c r="I16" t="s">
        <v>8</v>
      </c>
      <c r="J16">
        <v>0</v>
      </c>
      <c r="K16">
        <v>0</v>
      </c>
      <c r="L16" t="s">
        <v>94</v>
      </c>
      <c r="M16">
        <v>0</v>
      </c>
      <c r="N16" t="s">
        <v>8</v>
      </c>
      <c r="Q16">
        <v>0</v>
      </c>
      <c r="R16">
        <v>1</v>
      </c>
      <c r="S16">
        <v>9658.4901840167695</v>
      </c>
      <c r="T16">
        <v>0</v>
      </c>
      <c r="U16">
        <v>0</v>
      </c>
      <c r="V16">
        <v>0</v>
      </c>
      <c r="W16">
        <v>0</v>
      </c>
      <c r="X16">
        <v>1</v>
      </c>
      <c r="Y16" t="s">
        <v>126</v>
      </c>
      <c r="Z16">
        <v>0</v>
      </c>
      <c r="AA16">
        <v>0</v>
      </c>
      <c r="AB16">
        <v>0</v>
      </c>
      <c r="AC16">
        <v>0</v>
      </c>
      <c r="AD16">
        <v>1</v>
      </c>
      <c r="AE16">
        <v>0</v>
      </c>
      <c r="AH16">
        <v>1</v>
      </c>
      <c r="AI16">
        <v>1</v>
      </c>
      <c r="AJ16">
        <v>0</v>
      </c>
    </row>
    <row r="17" spans="1:36" x14ac:dyDescent="0.3">
      <c r="A17" t="s">
        <v>278</v>
      </c>
      <c r="B17" t="s">
        <v>201</v>
      </c>
      <c r="C17" t="s">
        <v>207</v>
      </c>
      <c r="E17" t="s">
        <v>54</v>
      </c>
      <c r="F17">
        <v>0.97979589711327097</v>
      </c>
      <c r="G17" t="s">
        <v>94</v>
      </c>
      <c r="H17">
        <v>0</v>
      </c>
      <c r="I17" t="s">
        <v>8</v>
      </c>
      <c r="J17">
        <v>0</v>
      </c>
      <c r="K17">
        <v>0</v>
      </c>
      <c r="L17" t="s">
        <v>94</v>
      </c>
      <c r="M17">
        <v>0</v>
      </c>
      <c r="N17" t="s">
        <v>8</v>
      </c>
      <c r="Q17">
        <v>0</v>
      </c>
      <c r="R17">
        <v>1</v>
      </c>
      <c r="S17">
        <v>9658.4901840167695</v>
      </c>
      <c r="T17">
        <v>0</v>
      </c>
      <c r="U17">
        <v>0</v>
      </c>
      <c r="V17">
        <v>0</v>
      </c>
      <c r="W17">
        <v>0</v>
      </c>
      <c r="X17">
        <v>1</v>
      </c>
      <c r="Y17" t="s">
        <v>126</v>
      </c>
      <c r="Z17">
        <v>0</v>
      </c>
      <c r="AA17">
        <v>0</v>
      </c>
      <c r="AB17">
        <v>0</v>
      </c>
      <c r="AC17">
        <v>0</v>
      </c>
      <c r="AD17">
        <v>1</v>
      </c>
      <c r="AE17">
        <v>0</v>
      </c>
      <c r="AH17">
        <v>1</v>
      </c>
      <c r="AI17">
        <v>1</v>
      </c>
      <c r="AJ17">
        <v>0</v>
      </c>
    </row>
    <row r="18" spans="1:36" x14ac:dyDescent="0.3">
      <c r="A18" t="s">
        <v>279</v>
      </c>
      <c r="B18" t="s">
        <v>202</v>
      </c>
      <c r="C18" t="s">
        <v>208</v>
      </c>
      <c r="E18" t="s">
        <v>54</v>
      </c>
      <c r="F18">
        <v>0.97979589711327097</v>
      </c>
      <c r="G18" t="s">
        <v>94</v>
      </c>
      <c r="H18">
        <v>0</v>
      </c>
      <c r="I18" t="s">
        <v>8</v>
      </c>
      <c r="J18">
        <v>0</v>
      </c>
      <c r="K18">
        <v>0</v>
      </c>
      <c r="L18" t="s">
        <v>94</v>
      </c>
      <c r="M18">
        <v>0</v>
      </c>
      <c r="N18" t="s">
        <v>8</v>
      </c>
      <c r="Q18">
        <v>0</v>
      </c>
      <c r="R18">
        <v>1</v>
      </c>
      <c r="S18">
        <v>9658.4901840167695</v>
      </c>
      <c r="T18">
        <v>0</v>
      </c>
      <c r="U18">
        <v>0</v>
      </c>
      <c r="V18">
        <v>0</v>
      </c>
      <c r="W18">
        <v>0</v>
      </c>
      <c r="X18">
        <v>1</v>
      </c>
      <c r="Y18" t="s">
        <v>126</v>
      </c>
      <c r="Z18">
        <v>0</v>
      </c>
      <c r="AA18">
        <v>0</v>
      </c>
      <c r="AB18">
        <v>0</v>
      </c>
      <c r="AC18">
        <v>0</v>
      </c>
      <c r="AD18">
        <v>1</v>
      </c>
      <c r="AE18">
        <v>0</v>
      </c>
      <c r="AH18">
        <v>1</v>
      </c>
      <c r="AI18">
        <v>1</v>
      </c>
      <c r="AJ18">
        <v>0</v>
      </c>
    </row>
    <row r="19" spans="1:36" x14ac:dyDescent="0.3">
      <c r="A19" t="s">
        <v>280</v>
      </c>
      <c r="B19" t="s">
        <v>203</v>
      </c>
      <c r="C19" t="s">
        <v>209</v>
      </c>
      <c r="E19" t="s">
        <v>54</v>
      </c>
      <c r="F19">
        <v>0.97979589711327097</v>
      </c>
      <c r="G19" t="s">
        <v>94</v>
      </c>
      <c r="H19">
        <v>0</v>
      </c>
      <c r="I19" t="s">
        <v>8</v>
      </c>
      <c r="J19">
        <v>0</v>
      </c>
      <c r="K19">
        <v>0</v>
      </c>
      <c r="L19" t="s">
        <v>94</v>
      </c>
      <c r="M19">
        <v>0</v>
      </c>
      <c r="N19" t="s">
        <v>8</v>
      </c>
      <c r="Q19">
        <v>0</v>
      </c>
      <c r="R19">
        <v>1</v>
      </c>
      <c r="S19">
        <v>9658.4901840167695</v>
      </c>
      <c r="T19">
        <v>0</v>
      </c>
      <c r="U19">
        <v>0</v>
      </c>
      <c r="V19">
        <v>0</v>
      </c>
      <c r="W19">
        <v>0</v>
      </c>
      <c r="X19">
        <v>1</v>
      </c>
      <c r="Y19" t="s">
        <v>126</v>
      </c>
      <c r="Z19">
        <v>0</v>
      </c>
      <c r="AA19">
        <v>0</v>
      </c>
      <c r="AB19">
        <v>0</v>
      </c>
      <c r="AC19">
        <v>0</v>
      </c>
      <c r="AD19">
        <v>1</v>
      </c>
      <c r="AE19">
        <v>0</v>
      </c>
      <c r="AH19">
        <v>1</v>
      </c>
      <c r="AI19">
        <v>1</v>
      </c>
      <c r="AJ19">
        <v>0</v>
      </c>
    </row>
    <row r="20" spans="1:36" x14ac:dyDescent="0.3">
      <c r="A20" t="s">
        <v>168</v>
      </c>
      <c r="B20" t="s">
        <v>82</v>
      </c>
      <c r="C20" t="s">
        <v>87</v>
      </c>
      <c r="E20" t="s">
        <v>54</v>
      </c>
      <c r="F20">
        <v>0.97979589711327097</v>
      </c>
      <c r="G20" t="s">
        <v>94</v>
      </c>
      <c r="H20">
        <v>0</v>
      </c>
      <c r="I20" t="s">
        <v>8</v>
      </c>
      <c r="J20">
        <v>0</v>
      </c>
      <c r="K20">
        <v>0</v>
      </c>
      <c r="L20" t="s">
        <v>94</v>
      </c>
      <c r="M20">
        <v>0</v>
      </c>
      <c r="N20" t="s">
        <v>8</v>
      </c>
      <c r="Q20">
        <v>0</v>
      </c>
      <c r="R20">
        <v>1</v>
      </c>
      <c r="S20">
        <v>9658.4901840167695</v>
      </c>
      <c r="T20">
        <v>0</v>
      </c>
      <c r="U20">
        <v>0</v>
      </c>
      <c r="V20">
        <v>0</v>
      </c>
      <c r="W20">
        <v>0</v>
      </c>
      <c r="X20">
        <v>1</v>
      </c>
      <c r="Y20" t="s">
        <v>126</v>
      </c>
      <c r="Z20">
        <v>0</v>
      </c>
      <c r="AA20">
        <v>0</v>
      </c>
      <c r="AB20">
        <v>0</v>
      </c>
      <c r="AC20">
        <v>0</v>
      </c>
      <c r="AD20">
        <v>1</v>
      </c>
      <c r="AE20">
        <v>0</v>
      </c>
      <c r="AH20">
        <v>1</v>
      </c>
      <c r="AI20">
        <v>1</v>
      </c>
      <c r="AJ20">
        <v>0</v>
      </c>
    </row>
    <row r="21" spans="1:36" x14ac:dyDescent="0.3">
      <c r="A21" t="s">
        <v>169</v>
      </c>
      <c r="B21" t="s">
        <v>86</v>
      </c>
      <c r="C21" t="s">
        <v>79</v>
      </c>
      <c r="E21" t="s">
        <v>56</v>
      </c>
      <c r="F21">
        <v>0.97979589711327097</v>
      </c>
      <c r="G21" t="s">
        <v>94</v>
      </c>
      <c r="H21">
        <v>0</v>
      </c>
      <c r="I21" t="s">
        <v>8</v>
      </c>
      <c r="J21">
        <v>0</v>
      </c>
      <c r="K21">
        <v>0</v>
      </c>
      <c r="L21" t="s">
        <v>94</v>
      </c>
      <c r="M21">
        <v>0</v>
      </c>
      <c r="N21" t="s">
        <v>8</v>
      </c>
      <c r="Q21">
        <v>0</v>
      </c>
      <c r="R21">
        <v>1</v>
      </c>
      <c r="S21">
        <v>0</v>
      </c>
      <c r="T21">
        <v>0</v>
      </c>
      <c r="U21">
        <v>0</v>
      </c>
      <c r="V21">
        <v>0</v>
      </c>
      <c r="W21">
        <v>0</v>
      </c>
      <c r="X21">
        <v>1</v>
      </c>
      <c r="Y21" t="s">
        <v>126</v>
      </c>
      <c r="Z21">
        <v>0</v>
      </c>
      <c r="AA21">
        <v>0</v>
      </c>
      <c r="AB21">
        <v>0</v>
      </c>
      <c r="AC21">
        <v>0</v>
      </c>
      <c r="AD21">
        <v>1</v>
      </c>
      <c r="AE21">
        <v>0</v>
      </c>
      <c r="AH21">
        <v>1</v>
      </c>
      <c r="AI21">
        <v>1</v>
      </c>
      <c r="AJ21">
        <v>0</v>
      </c>
    </row>
    <row r="22" spans="1:36" x14ac:dyDescent="0.3">
      <c r="A22" t="s">
        <v>281</v>
      </c>
      <c r="B22" t="s">
        <v>207</v>
      </c>
      <c r="C22" t="s">
        <v>201</v>
      </c>
      <c r="E22" t="s">
        <v>56</v>
      </c>
      <c r="F22">
        <v>0.97979589711327097</v>
      </c>
      <c r="G22" t="s">
        <v>94</v>
      </c>
      <c r="H22">
        <v>0</v>
      </c>
      <c r="I22" t="s">
        <v>8</v>
      </c>
      <c r="J22">
        <v>0</v>
      </c>
      <c r="K22">
        <v>0</v>
      </c>
      <c r="L22" t="s">
        <v>94</v>
      </c>
      <c r="M22">
        <v>0</v>
      </c>
      <c r="N22" t="s">
        <v>8</v>
      </c>
      <c r="Q22">
        <v>0</v>
      </c>
      <c r="R22">
        <v>1</v>
      </c>
      <c r="S22">
        <v>0</v>
      </c>
      <c r="T22">
        <v>0</v>
      </c>
      <c r="U22">
        <v>0</v>
      </c>
      <c r="V22">
        <v>0</v>
      </c>
      <c r="W22">
        <v>0</v>
      </c>
      <c r="X22">
        <v>1</v>
      </c>
      <c r="Y22" t="s">
        <v>126</v>
      </c>
      <c r="Z22">
        <v>0</v>
      </c>
      <c r="AA22">
        <v>0</v>
      </c>
      <c r="AB22">
        <v>0</v>
      </c>
      <c r="AC22">
        <v>0</v>
      </c>
      <c r="AD22">
        <v>1</v>
      </c>
      <c r="AE22">
        <v>0</v>
      </c>
      <c r="AH22">
        <v>1</v>
      </c>
      <c r="AI22">
        <v>1</v>
      </c>
      <c r="AJ22">
        <v>0</v>
      </c>
    </row>
    <row r="23" spans="1:36" x14ac:dyDescent="0.3">
      <c r="A23" t="s">
        <v>282</v>
      </c>
      <c r="B23" t="s">
        <v>208</v>
      </c>
      <c r="C23" t="s">
        <v>202</v>
      </c>
      <c r="E23" t="s">
        <v>56</v>
      </c>
      <c r="F23">
        <v>0.97979589711327097</v>
      </c>
      <c r="G23" t="s">
        <v>94</v>
      </c>
      <c r="H23">
        <v>0</v>
      </c>
      <c r="I23" t="s">
        <v>8</v>
      </c>
      <c r="J23">
        <v>0</v>
      </c>
      <c r="K23">
        <v>0</v>
      </c>
      <c r="L23" t="s">
        <v>94</v>
      </c>
      <c r="M23">
        <v>0</v>
      </c>
      <c r="N23" t="s">
        <v>8</v>
      </c>
      <c r="Q23">
        <v>0</v>
      </c>
      <c r="R23">
        <v>1</v>
      </c>
      <c r="S23">
        <v>0</v>
      </c>
      <c r="T23">
        <v>0</v>
      </c>
      <c r="U23">
        <v>0</v>
      </c>
      <c r="V23">
        <v>0</v>
      </c>
      <c r="W23">
        <v>0</v>
      </c>
      <c r="X23">
        <v>1</v>
      </c>
      <c r="Y23" t="s">
        <v>126</v>
      </c>
      <c r="Z23">
        <v>0</v>
      </c>
      <c r="AA23">
        <v>0</v>
      </c>
      <c r="AB23">
        <v>0</v>
      </c>
      <c r="AC23">
        <v>0</v>
      </c>
      <c r="AD23">
        <v>1</v>
      </c>
      <c r="AE23">
        <v>0</v>
      </c>
      <c r="AH23">
        <v>1</v>
      </c>
      <c r="AI23">
        <v>1</v>
      </c>
      <c r="AJ23">
        <v>0</v>
      </c>
    </row>
    <row r="24" spans="1:36" x14ac:dyDescent="0.3">
      <c r="A24" t="s">
        <v>283</v>
      </c>
      <c r="B24" t="s">
        <v>209</v>
      </c>
      <c r="C24" t="s">
        <v>203</v>
      </c>
      <c r="E24" t="s">
        <v>56</v>
      </c>
      <c r="F24">
        <v>0.97979589711327097</v>
      </c>
      <c r="G24" t="s">
        <v>94</v>
      </c>
      <c r="H24">
        <v>0</v>
      </c>
      <c r="I24" t="s">
        <v>8</v>
      </c>
      <c r="J24">
        <v>0</v>
      </c>
      <c r="K24">
        <v>0</v>
      </c>
      <c r="L24" t="s">
        <v>94</v>
      </c>
      <c r="M24">
        <v>0</v>
      </c>
      <c r="N24" t="s">
        <v>8</v>
      </c>
      <c r="Q24">
        <v>0</v>
      </c>
      <c r="R24">
        <v>1</v>
      </c>
      <c r="S24">
        <v>0</v>
      </c>
      <c r="T24">
        <v>0</v>
      </c>
      <c r="U24">
        <v>0</v>
      </c>
      <c r="V24">
        <v>0</v>
      </c>
      <c r="W24">
        <v>0</v>
      </c>
      <c r="X24">
        <v>1</v>
      </c>
      <c r="Y24" t="s">
        <v>126</v>
      </c>
      <c r="Z24">
        <v>0</v>
      </c>
      <c r="AA24">
        <v>0</v>
      </c>
      <c r="AB24">
        <v>0</v>
      </c>
      <c r="AC24">
        <v>0</v>
      </c>
      <c r="AD24">
        <v>1</v>
      </c>
      <c r="AE24">
        <v>0</v>
      </c>
      <c r="AH24">
        <v>1</v>
      </c>
      <c r="AI24">
        <v>1</v>
      </c>
      <c r="AJ24">
        <v>0</v>
      </c>
    </row>
    <row r="25" spans="1:36" x14ac:dyDescent="0.3">
      <c r="A25" t="s">
        <v>170</v>
      </c>
      <c r="B25" t="s">
        <v>87</v>
      </c>
      <c r="C25" t="s">
        <v>82</v>
      </c>
      <c r="E25" t="s">
        <v>56</v>
      </c>
      <c r="F25">
        <v>0.97979589711327097</v>
      </c>
      <c r="G25" t="s">
        <v>94</v>
      </c>
      <c r="H25">
        <v>0</v>
      </c>
      <c r="I25" t="s">
        <v>8</v>
      </c>
      <c r="J25">
        <v>0</v>
      </c>
      <c r="K25">
        <v>0</v>
      </c>
      <c r="L25" t="s">
        <v>94</v>
      </c>
      <c r="M25">
        <v>0</v>
      </c>
      <c r="N25" t="s">
        <v>8</v>
      </c>
      <c r="Q25">
        <v>0</v>
      </c>
      <c r="R25">
        <v>1</v>
      </c>
      <c r="S25">
        <v>0</v>
      </c>
      <c r="T25">
        <v>0</v>
      </c>
      <c r="U25">
        <v>0</v>
      </c>
      <c r="V25">
        <v>0</v>
      </c>
      <c r="W25">
        <v>0</v>
      </c>
      <c r="X25">
        <v>1</v>
      </c>
      <c r="Y25" t="s">
        <v>126</v>
      </c>
      <c r="Z25">
        <v>0</v>
      </c>
      <c r="AA25">
        <v>0</v>
      </c>
      <c r="AB25">
        <v>0</v>
      </c>
      <c r="AC25">
        <v>0</v>
      </c>
      <c r="AD25">
        <v>1</v>
      </c>
      <c r="AE25">
        <v>0</v>
      </c>
      <c r="AH25">
        <v>1</v>
      </c>
      <c r="AI25">
        <v>1</v>
      </c>
      <c r="AJ2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
  <sheetViews>
    <sheetView workbookViewId="0">
      <selection activeCell="A2" sqref="A2"/>
    </sheetView>
  </sheetViews>
  <sheetFormatPr defaultRowHeight="14.4" x14ac:dyDescent="0.3"/>
  <sheetData>
    <row r="1" spans="1:37" x14ac:dyDescent="0.3">
      <c r="A1" t="s">
        <v>171</v>
      </c>
      <c r="B1" t="s">
        <v>89</v>
      </c>
      <c r="C1" t="s">
        <v>73</v>
      </c>
      <c r="D1" t="s">
        <v>64</v>
      </c>
      <c r="E1" t="s">
        <v>96</v>
      </c>
      <c r="F1" t="s">
        <v>97</v>
      </c>
      <c r="G1" t="s">
        <v>98</v>
      </c>
      <c r="H1" t="s">
        <v>99</v>
      </c>
      <c r="I1" t="s">
        <v>100</v>
      </c>
      <c r="J1" t="s">
        <v>233</v>
      </c>
      <c r="K1" t="s">
        <v>101</v>
      </c>
      <c r="L1" t="s">
        <v>102</v>
      </c>
      <c r="M1" t="s">
        <v>90</v>
      </c>
      <c r="N1" t="s">
        <v>91</v>
      </c>
      <c r="O1" t="s">
        <v>284</v>
      </c>
      <c r="P1" t="s">
        <v>285</v>
      </c>
      <c r="Q1" t="s">
        <v>92</v>
      </c>
      <c r="R1" t="s">
        <v>67</v>
      </c>
      <c r="S1" t="s">
        <v>172</v>
      </c>
      <c r="T1" t="s">
        <v>105</v>
      </c>
      <c r="U1" t="s">
        <v>106</v>
      </c>
      <c r="V1" t="s">
        <v>173</v>
      </c>
      <c r="W1" t="s">
        <v>109</v>
      </c>
      <c r="X1" t="s">
        <v>93</v>
      </c>
      <c r="Y1" t="s">
        <v>107</v>
      </c>
      <c r="Z1" t="s">
        <v>108</v>
      </c>
      <c r="AA1" t="s">
        <v>174</v>
      </c>
      <c r="AB1" t="s">
        <v>175</v>
      </c>
      <c r="AC1" t="s">
        <v>176</v>
      </c>
      <c r="AD1" t="s">
        <v>177</v>
      </c>
      <c r="AE1" t="s">
        <v>178</v>
      </c>
      <c r="AF1" t="s">
        <v>179</v>
      </c>
      <c r="AG1" t="s">
        <v>180</v>
      </c>
      <c r="AH1" t="s">
        <v>181</v>
      </c>
      <c r="AI1" t="s">
        <v>182</v>
      </c>
      <c r="AJ1" t="s">
        <v>183</v>
      </c>
      <c r="AK1" t="s">
        <v>124</v>
      </c>
    </row>
    <row r="2" spans="1:37" x14ac:dyDescent="0.3">
      <c r="A2" t="s">
        <v>184</v>
      </c>
      <c r="B2" t="s">
        <v>79</v>
      </c>
      <c r="C2" t="s">
        <v>84</v>
      </c>
      <c r="E2">
        <v>1816</v>
      </c>
      <c r="F2">
        <v>0</v>
      </c>
      <c r="G2" t="s">
        <v>126</v>
      </c>
      <c r="H2">
        <v>0</v>
      </c>
      <c r="I2" t="s">
        <v>8</v>
      </c>
      <c r="K2">
        <v>-1</v>
      </c>
      <c r="L2">
        <v>1</v>
      </c>
      <c r="N2">
        <v>0</v>
      </c>
      <c r="Q2">
        <v>1</v>
      </c>
      <c r="R2" t="s">
        <v>42</v>
      </c>
      <c r="S2">
        <v>0</v>
      </c>
      <c r="T2">
        <v>0</v>
      </c>
      <c r="U2">
        <v>0</v>
      </c>
      <c r="V2">
        <v>0</v>
      </c>
      <c r="W2">
        <v>182698.73459185101</v>
      </c>
      <c r="X2" t="s">
        <v>94</v>
      </c>
      <c r="Y2">
        <v>0</v>
      </c>
      <c r="Z2" t="s">
        <v>8</v>
      </c>
      <c r="AA2">
        <v>0</v>
      </c>
      <c r="AB2" t="s">
        <v>126</v>
      </c>
      <c r="AD2" t="s">
        <v>94</v>
      </c>
      <c r="AE2" t="s">
        <v>126</v>
      </c>
      <c r="AF2">
        <v>90.790198237885406</v>
      </c>
      <c r="AG2">
        <v>0.86602540378443804</v>
      </c>
      <c r="AH2">
        <v>0.86602540378443804</v>
      </c>
      <c r="AI2">
        <v>0</v>
      </c>
      <c r="AJ2">
        <v>0</v>
      </c>
      <c r="AK2">
        <v>0</v>
      </c>
    </row>
    <row r="3" spans="1:37" x14ac:dyDescent="0.3">
      <c r="A3" t="s">
        <v>286</v>
      </c>
      <c r="B3" t="s">
        <v>201</v>
      </c>
      <c r="C3" t="s">
        <v>84</v>
      </c>
      <c r="E3">
        <v>2282.9</v>
      </c>
      <c r="F3">
        <v>0</v>
      </c>
      <c r="G3" t="s">
        <v>126</v>
      </c>
      <c r="H3">
        <v>0</v>
      </c>
      <c r="I3" t="s">
        <v>8</v>
      </c>
      <c r="K3">
        <v>-1</v>
      </c>
      <c r="L3">
        <v>1</v>
      </c>
      <c r="N3">
        <v>0</v>
      </c>
      <c r="Q3">
        <v>1</v>
      </c>
      <c r="R3" t="s">
        <v>42</v>
      </c>
      <c r="S3">
        <v>0</v>
      </c>
      <c r="T3">
        <v>0</v>
      </c>
      <c r="U3">
        <v>0</v>
      </c>
      <c r="V3">
        <v>0</v>
      </c>
      <c r="W3">
        <v>182698.73459185101</v>
      </c>
      <c r="X3" t="s">
        <v>94</v>
      </c>
      <c r="Y3">
        <v>0</v>
      </c>
      <c r="Z3" t="s">
        <v>8</v>
      </c>
      <c r="AA3">
        <v>0</v>
      </c>
      <c r="AB3" t="s">
        <v>126</v>
      </c>
      <c r="AD3" t="s">
        <v>94</v>
      </c>
      <c r="AE3" t="s">
        <v>126</v>
      </c>
      <c r="AF3">
        <v>15.8926189682069</v>
      </c>
      <c r="AG3">
        <v>0.86602540378443804</v>
      </c>
      <c r="AH3">
        <v>0.86602540378443804</v>
      </c>
      <c r="AI3">
        <v>0</v>
      </c>
      <c r="AJ3">
        <v>0</v>
      </c>
      <c r="AK3">
        <v>0</v>
      </c>
    </row>
    <row r="4" spans="1:37" x14ac:dyDescent="0.3">
      <c r="A4" t="s">
        <v>287</v>
      </c>
      <c r="B4" t="s">
        <v>202</v>
      </c>
      <c r="C4" t="s">
        <v>84</v>
      </c>
      <c r="E4">
        <v>2653</v>
      </c>
      <c r="F4">
        <v>0</v>
      </c>
      <c r="G4" t="s">
        <v>126</v>
      </c>
      <c r="H4">
        <v>0</v>
      </c>
      <c r="I4" t="s">
        <v>8</v>
      </c>
      <c r="K4">
        <v>-1</v>
      </c>
      <c r="L4">
        <v>1</v>
      </c>
      <c r="N4">
        <v>0</v>
      </c>
      <c r="Q4">
        <v>1</v>
      </c>
      <c r="R4" t="s">
        <v>42</v>
      </c>
      <c r="S4">
        <v>0</v>
      </c>
      <c r="T4">
        <v>0</v>
      </c>
      <c r="U4">
        <v>0</v>
      </c>
      <c r="V4">
        <v>0</v>
      </c>
      <c r="W4">
        <v>182698.73459185101</v>
      </c>
      <c r="X4" t="s">
        <v>94</v>
      </c>
      <c r="Y4">
        <v>0</v>
      </c>
      <c r="Z4" t="s">
        <v>8</v>
      </c>
      <c r="AA4">
        <v>0</v>
      </c>
      <c r="AB4" t="s">
        <v>126</v>
      </c>
      <c r="AD4" t="s">
        <v>94</v>
      </c>
      <c r="AE4" t="s">
        <v>126</v>
      </c>
      <c r="AF4">
        <v>66.603036014512597</v>
      </c>
      <c r="AG4">
        <v>0.86602540378443804</v>
      </c>
      <c r="AH4">
        <v>0.86602540378443804</v>
      </c>
      <c r="AI4">
        <v>0</v>
      </c>
      <c r="AJ4">
        <v>0</v>
      </c>
      <c r="AK4">
        <v>0</v>
      </c>
    </row>
    <row r="5" spans="1:37" x14ac:dyDescent="0.3">
      <c r="A5" t="s">
        <v>288</v>
      </c>
      <c r="B5" t="s">
        <v>203</v>
      </c>
      <c r="C5" t="s">
        <v>84</v>
      </c>
      <c r="E5">
        <v>580</v>
      </c>
      <c r="F5">
        <v>0</v>
      </c>
      <c r="G5" t="s">
        <v>126</v>
      </c>
      <c r="H5">
        <v>0</v>
      </c>
      <c r="I5" t="s">
        <v>8</v>
      </c>
      <c r="K5">
        <v>-1</v>
      </c>
      <c r="L5">
        <v>1</v>
      </c>
      <c r="N5">
        <v>0</v>
      </c>
      <c r="Q5">
        <v>1</v>
      </c>
      <c r="R5" t="s">
        <v>42</v>
      </c>
      <c r="S5">
        <v>0</v>
      </c>
      <c r="T5">
        <v>0</v>
      </c>
      <c r="U5">
        <v>0</v>
      </c>
      <c r="V5">
        <v>0</v>
      </c>
      <c r="W5">
        <v>182698.73459185101</v>
      </c>
      <c r="X5" t="s">
        <v>94</v>
      </c>
      <c r="Y5">
        <v>0</v>
      </c>
      <c r="Z5" t="s">
        <v>8</v>
      </c>
      <c r="AA5">
        <v>0</v>
      </c>
      <c r="AB5" t="s">
        <v>126</v>
      </c>
      <c r="AD5" t="s">
        <v>94</v>
      </c>
      <c r="AE5" t="s">
        <v>126</v>
      </c>
      <c r="AF5">
        <v>6.8965517241379297</v>
      </c>
      <c r="AG5">
        <v>0.86602540378443804</v>
      </c>
      <c r="AH5">
        <v>0.86602540378443804</v>
      </c>
      <c r="AI5">
        <v>0</v>
      </c>
      <c r="AJ5">
        <v>0</v>
      </c>
      <c r="AK5">
        <v>0</v>
      </c>
    </row>
    <row r="6" spans="1:37" x14ac:dyDescent="0.3">
      <c r="A6" t="s">
        <v>185</v>
      </c>
      <c r="B6" t="s">
        <v>82</v>
      </c>
      <c r="C6" t="s">
        <v>84</v>
      </c>
      <c r="E6">
        <v>240</v>
      </c>
      <c r="F6">
        <v>0</v>
      </c>
      <c r="G6" t="s">
        <v>126</v>
      </c>
      <c r="H6">
        <v>0</v>
      </c>
      <c r="I6" t="s">
        <v>8</v>
      </c>
      <c r="K6">
        <v>-1</v>
      </c>
      <c r="L6">
        <v>1</v>
      </c>
      <c r="N6">
        <v>0</v>
      </c>
      <c r="Q6">
        <v>1</v>
      </c>
      <c r="R6" t="s">
        <v>42</v>
      </c>
      <c r="S6">
        <v>0</v>
      </c>
      <c r="T6">
        <v>0</v>
      </c>
      <c r="U6">
        <v>0</v>
      </c>
      <c r="V6">
        <v>0</v>
      </c>
      <c r="W6">
        <v>182698.73459185101</v>
      </c>
      <c r="X6" t="s">
        <v>94</v>
      </c>
      <c r="Y6">
        <v>0</v>
      </c>
      <c r="Z6" t="s">
        <v>8</v>
      </c>
      <c r="AA6">
        <v>0</v>
      </c>
      <c r="AB6" t="s">
        <v>126</v>
      </c>
      <c r="AD6" t="s">
        <v>94</v>
      </c>
      <c r="AE6" t="s">
        <v>126</v>
      </c>
      <c r="AF6">
        <v>39.707286032452998</v>
      </c>
      <c r="AG6">
        <v>0.86602540378443804</v>
      </c>
      <c r="AH6">
        <v>0.86602540378443804</v>
      </c>
      <c r="AI6">
        <v>0</v>
      </c>
      <c r="AJ6">
        <v>0</v>
      </c>
      <c r="AK6">
        <v>0</v>
      </c>
    </row>
    <row r="7" spans="1:37" x14ac:dyDescent="0.3">
      <c r="A7" t="s">
        <v>186</v>
      </c>
      <c r="B7" t="s">
        <v>79</v>
      </c>
      <c r="C7" t="s">
        <v>84</v>
      </c>
      <c r="E7">
        <v>213</v>
      </c>
      <c r="F7">
        <v>0</v>
      </c>
      <c r="G7" t="s">
        <v>126</v>
      </c>
      <c r="H7">
        <v>0</v>
      </c>
      <c r="I7" t="s">
        <v>8</v>
      </c>
      <c r="K7">
        <v>0</v>
      </c>
      <c r="L7">
        <v>1</v>
      </c>
      <c r="N7">
        <v>0</v>
      </c>
      <c r="Q7">
        <v>1</v>
      </c>
      <c r="R7" t="s">
        <v>22</v>
      </c>
      <c r="S7">
        <v>0</v>
      </c>
      <c r="T7">
        <v>0</v>
      </c>
      <c r="U7">
        <v>0</v>
      </c>
      <c r="V7">
        <v>0</v>
      </c>
      <c r="W7">
        <v>182698.73459185101</v>
      </c>
      <c r="X7" t="s">
        <v>94</v>
      </c>
      <c r="Y7">
        <v>0</v>
      </c>
      <c r="Z7" t="s">
        <v>8</v>
      </c>
      <c r="AA7">
        <v>0</v>
      </c>
      <c r="AB7" t="s">
        <v>126</v>
      </c>
      <c r="AD7" t="s">
        <v>94</v>
      </c>
      <c r="AE7" t="s">
        <v>126</v>
      </c>
      <c r="AF7">
        <v>1883.2840659864501</v>
      </c>
      <c r="AG7">
        <v>0</v>
      </c>
      <c r="AH7">
        <v>0.9</v>
      </c>
      <c r="AI7">
        <v>0</v>
      </c>
      <c r="AJ7">
        <v>0</v>
      </c>
      <c r="AK7">
        <v>0</v>
      </c>
    </row>
    <row r="8" spans="1:37" x14ac:dyDescent="0.3">
      <c r="A8" t="s">
        <v>289</v>
      </c>
      <c r="B8" t="s">
        <v>201</v>
      </c>
      <c r="C8" t="s">
        <v>84</v>
      </c>
      <c r="E8">
        <v>1490.2</v>
      </c>
      <c r="F8">
        <v>0</v>
      </c>
      <c r="G8" t="s">
        <v>126</v>
      </c>
      <c r="H8">
        <v>0</v>
      </c>
      <c r="I8" t="s">
        <v>8</v>
      </c>
      <c r="K8">
        <v>0</v>
      </c>
      <c r="L8">
        <v>1</v>
      </c>
      <c r="N8">
        <v>0</v>
      </c>
      <c r="Q8">
        <v>1</v>
      </c>
      <c r="R8" t="s">
        <v>22</v>
      </c>
      <c r="S8">
        <v>0</v>
      </c>
      <c r="T8">
        <v>0</v>
      </c>
      <c r="U8">
        <v>0</v>
      </c>
      <c r="V8">
        <v>0</v>
      </c>
      <c r="W8">
        <v>182698.73459185101</v>
      </c>
      <c r="X8" t="s">
        <v>94</v>
      </c>
      <c r="Y8">
        <v>0</v>
      </c>
      <c r="Z8" t="s">
        <v>8</v>
      </c>
      <c r="AA8">
        <v>0</v>
      </c>
      <c r="AB8" t="s">
        <v>126</v>
      </c>
      <c r="AD8" t="s">
        <v>94</v>
      </c>
      <c r="AE8" t="s">
        <v>126</v>
      </c>
      <c r="AF8">
        <v>1883.2840659864501</v>
      </c>
      <c r="AG8">
        <v>0</v>
      </c>
      <c r="AH8">
        <v>0.9</v>
      </c>
      <c r="AI8">
        <v>0</v>
      </c>
      <c r="AJ8">
        <v>0</v>
      </c>
      <c r="AK8">
        <v>0</v>
      </c>
    </row>
    <row r="9" spans="1:37" x14ac:dyDescent="0.3">
      <c r="A9" t="s">
        <v>290</v>
      </c>
      <c r="B9" t="s">
        <v>202</v>
      </c>
      <c r="C9" t="s">
        <v>84</v>
      </c>
      <c r="E9">
        <v>1886.6</v>
      </c>
      <c r="F9">
        <v>0</v>
      </c>
      <c r="G9" t="s">
        <v>126</v>
      </c>
      <c r="H9">
        <v>0</v>
      </c>
      <c r="I9" t="s">
        <v>8</v>
      </c>
      <c r="K9">
        <v>0</v>
      </c>
      <c r="L9">
        <v>1</v>
      </c>
      <c r="N9">
        <v>0</v>
      </c>
      <c r="Q9">
        <v>1</v>
      </c>
      <c r="R9" t="s">
        <v>22</v>
      </c>
      <c r="S9">
        <v>0</v>
      </c>
      <c r="T9">
        <v>0</v>
      </c>
      <c r="U9">
        <v>0</v>
      </c>
      <c r="V9">
        <v>0</v>
      </c>
      <c r="W9">
        <v>182698.73459185101</v>
      </c>
      <c r="X9" t="s">
        <v>94</v>
      </c>
      <c r="Y9">
        <v>0</v>
      </c>
      <c r="Z9" t="s">
        <v>8</v>
      </c>
      <c r="AA9">
        <v>0</v>
      </c>
      <c r="AB9" t="s">
        <v>126</v>
      </c>
      <c r="AD9" t="s">
        <v>94</v>
      </c>
      <c r="AE9" t="s">
        <v>126</v>
      </c>
      <c r="AF9">
        <v>1883.2840659864501</v>
      </c>
      <c r="AG9">
        <v>0</v>
      </c>
      <c r="AH9">
        <v>0.9</v>
      </c>
      <c r="AI9">
        <v>0</v>
      </c>
      <c r="AJ9">
        <v>0</v>
      </c>
      <c r="AK9">
        <v>0</v>
      </c>
    </row>
    <row r="10" spans="1:37" x14ac:dyDescent="0.3">
      <c r="A10" t="s">
        <v>291</v>
      </c>
      <c r="B10" t="s">
        <v>203</v>
      </c>
      <c r="C10" t="s">
        <v>84</v>
      </c>
      <c r="E10">
        <v>527</v>
      </c>
      <c r="F10">
        <v>0</v>
      </c>
      <c r="G10" t="s">
        <v>126</v>
      </c>
      <c r="H10">
        <v>0</v>
      </c>
      <c r="I10" t="s">
        <v>8</v>
      </c>
      <c r="K10">
        <v>0</v>
      </c>
      <c r="L10">
        <v>1</v>
      </c>
      <c r="N10">
        <v>0</v>
      </c>
      <c r="Q10">
        <v>1</v>
      </c>
      <c r="R10" t="s">
        <v>22</v>
      </c>
      <c r="S10">
        <v>0</v>
      </c>
      <c r="T10">
        <v>0</v>
      </c>
      <c r="U10">
        <v>0</v>
      </c>
      <c r="V10">
        <v>0</v>
      </c>
      <c r="W10">
        <v>182698.73459185101</v>
      </c>
      <c r="X10" t="s">
        <v>94</v>
      </c>
      <c r="Y10">
        <v>0</v>
      </c>
      <c r="Z10" t="s">
        <v>8</v>
      </c>
      <c r="AA10">
        <v>0</v>
      </c>
      <c r="AB10" t="s">
        <v>126</v>
      </c>
      <c r="AD10" t="s">
        <v>94</v>
      </c>
      <c r="AE10" t="s">
        <v>126</v>
      </c>
      <c r="AF10">
        <v>1883.2840659864501</v>
      </c>
      <c r="AG10">
        <v>0</v>
      </c>
      <c r="AH10">
        <v>0.9</v>
      </c>
      <c r="AI10">
        <v>0</v>
      </c>
      <c r="AJ10">
        <v>0</v>
      </c>
      <c r="AK10">
        <v>0</v>
      </c>
    </row>
    <row r="11" spans="1:37" x14ac:dyDescent="0.3">
      <c r="A11" t="s">
        <v>187</v>
      </c>
      <c r="B11" t="s">
        <v>82</v>
      </c>
      <c r="C11" t="s">
        <v>84</v>
      </c>
      <c r="E11">
        <v>78</v>
      </c>
      <c r="F11">
        <v>0</v>
      </c>
      <c r="G11" t="s">
        <v>126</v>
      </c>
      <c r="H11">
        <v>0</v>
      </c>
      <c r="I11" t="s">
        <v>8</v>
      </c>
      <c r="K11">
        <v>0</v>
      </c>
      <c r="L11">
        <v>1</v>
      </c>
      <c r="N11">
        <v>0</v>
      </c>
      <c r="Q11">
        <v>1</v>
      </c>
      <c r="R11" t="s">
        <v>22</v>
      </c>
      <c r="S11">
        <v>0</v>
      </c>
      <c r="T11">
        <v>0</v>
      </c>
      <c r="U11">
        <v>0</v>
      </c>
      <c r="V11">
        <v>0</v>
      </c>
      <c r="W11">
        <v>182698.73459185101</v>
      </c>
      <c r="X11" t="s">
        <v>94</v>
      </c>
      <c r="Y11">
        <v>0</v>
      </c>
      <c r="Z11" t="s">
        <v>8</v>
      </c>
      <c r="AA11">
        <v>0</v>
      </c>
      <c r="AB11" t="s">
        <v>126</v>
      </c>
      <c r="AD11" t="s">
        <v>94</v>
      </c>
      <c r="AE11" t="s">
        <v>126</v>
      </c>
      <c r="AF11">
        <v>1883.2840659864501</v>
      </c>
      <c r="AG11">
        <v>0</v>
      </c>
      <c r="AH11">
        <v>0.9</v>
      </c>
      <c r="AI11">
        <v>0</v>
      </c>
      <c r="AJ11">
        <v>0</v>
      </c>
      <c r="AK11">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1"/>
  <sheetViews>
    <sheetView tabSelected="1" workbookViewId="0">
      <selection activeCell="A2" sqref="A2"/>
    </sheetView>
  </sheetViews>
  <sheetFormatPr defaultRowHeight="14.4" x14ac:dyDescent="0.3"/>
  <sheetData>
    <row r="1" spans="1:29" x14ac:dyDescent="0.3">
      <c r="A1" t="s">
        <v>188</v>
      </c>
      <c r="B1" t="s">
        <v>89</v>
      </c>
      <c r="C1" t="s">
        <v>64</v>
      </c>
      <c r="D1" t="s">
        <v>67</v>
      </c>
      <c r="E1" t="s">
        <v>189</v>
      </c>
      <c r="F1" t="s">
        <v>190</v>
      </c>
      <c r="G1" t="s">
        <v>191</v>
      </c>
      <c r="H1" t="s">
        <v>192</v>
      </c>
      <c r="I1" t="s">
        <v>193</v>
      </c>
      <c r="J1" t="s">
        <v>292</v>
      </c>
      <c r="K1" t="s">
        <v>194</v>
      </c>
      <c r="L1" t="s">
        <v>195</v>
      </c>
      <c r="M1" t="s">
        <v>196</v>
      </c>
      <c r="N1" t="s">
        <v>197</v>
      </c>
      <c r="O1" t="s">
        <v>198</v>
      </c>
      <c r="P1" t="s">
        <v>199</v>
      </c>
      <c r="Q1" t="s">
        <v>90</v>
      </c>
      <c r="R1" t="s">
        <v>91</v>
      </c>
      <c r="S1" t="s">
        <v>293</v>
      </c>
      <c r="T1" t="s">
        <v>92</v>
      </c>
      <c r="U1" t="s">
        <v>105</v>
      </c>
      <c r="V1" t="s">
        <v>106</v>
      </c>
      <c r="W1" t="s">
        <v>173</v>
      </c>
      <c r="X1" t="s">
        <v>109</v>
      </c>
      <c r="Y1" t="s">
        <v>182</v>
      </c>
      <c r="Z1" t="s">
        <v>93</v>
      </c>
      <c r="AA1" t="s">
        <v>107</v>
      </c>
      <c r="AB1" t="s">
        <v>108</v>
      </c>
      <c r="AC1" t="s">
        <v>200</v>
      </c>
    </row>
    <row r="2" spans="1:29" x14ac:dyDescent="0.3">
      <c r="A2" t="s">
        <v>83</v>
      </c>
      <c r="B2" t="s">
        <v>83</v>
      </c>
      <c r="D2" t="s">
        <v>51</v>
      </c>
      <c r="E2">
        <v>0</v>
      </c>
      <c r="F2">
        <v>0</v>
      </c>
      <c r="G2" t="s">
        <v>94</v>
      </c>
      <c r="H2">
        <v>0</v>
      </c>
      <c r="I2" t="s">
        <v>8</v>
      </c>
      <c r="K2">
        <v>0</v>
      </c>
      <c r="L2">
        <v>1</v>
      </c>
      <c r="M2">
        <v>0</v>
      </c>
      <c r="N2" t="s">
        <v>126</v>
      </c>
      <c r="O2" t="s">
        <v>94</v>
      </c>
      <c r="P2" t="s">
        <v>126</v>
      </c>
      <c r="R2">
        <v>0</v>
      </c>
      <c r="T2">
        <v>1</v>
      </c>
      <c r="U2">
        <v>0</v>
      </c>
      <c r="V2">
        <v>0</v>
      </c>
      <c r="W2">
        <v>0</v>
      </c>
      <c r="X2">
        <v>89.430063709964799</v>
      </c>
      <c r="Y2">
        <v>0</v>
      </c>
      <c r="Z2" t="s">
        <v>94</v>
      </c>
      <c r="AA2">
        <v>0</v>
      </c>
      <c r="AB2" t="s">
        <v>8</v>
      </c>
      <c r="AC2">
        <v>0</v>
      </c>
    </row>
    <row r="3" spans="1:29" x14ac:dyDescent="0.3">
      <c r="A3" t="s">
        <v>204</v>
      </c>
      <c r="B3" t="s">
        <v>204</v>
      </c>
      <c r="D3" t="s">
        <v>51</v>
      </c>
      <c r="E3">
        <v>0</v>
      </c>
      <c r="F3">
        <v>0</v>
      </c>
      <c r="G3" t="s">
        <v>94</v>
      </c>
      <c r="H3">
        <v>0</v>
      </c>
      <c r="I3" t="s">
        <v>8</v>
      </c>
      <c r="K3">
        <v>0</v>
      </c>
      <c r="L3">
        <v>1</v>
      </c>
      <c r="M3">
        <v>0</v>
      </c>
      <c r="N3" t="s">
        <v>126</v>
      </c>
      <c r="O3" t="s">
        <v>94</v>
      </c>
      <c r="P3" t="s">
        <v>126</v>
      </c>
      <c r="R3">
        <v>0</v>
      </c>
      <c r="T3">
        <v>1</v>
      </c>
      <c r="U3">
        <v>0</v>
      </c>
      <c r="V3">
        <v>0</v>
      </c>
      <c r="W3">
        <v>0</v>
      </c>
      <c r="X3">
        <v>89.430063709964799</v>
      </c>
      <c r="Y3">
        <v>0</v>
      </c>
      <c r="Z3" t="s">
        <v>94</v>
      </c>
      <c r="AA3">
        <v>0</v>
      </c>
      <c r="AB3" t="s">
        <v>8</v>
      </c>
      <c r="AC3">
        <v>0</v>
      </c>
    </row>
    <row r="4" spans="1:29" x14ac:dyDescent="0.3">
      <c r="A4" t="s">
        <v>205</v>
      </c>
      <c r="B4" t="s">
        <v>205</v>
      </c>
      <c r="D4" t="s">
        <v>51</v>
      </c>
      <c r="E4">
        <v>0</v>
      </c>
      <c r="F4">
        <v>0</v>
      </c>
      <c r="G4" t="s">
        <v>94</v>
      </c>
      <c r="H4">
        <v>0</v>
      </c>
      <c r="I4" t="s">
        <v>8</v>
      </c>
      <c r="K4">
        <v>0</v>
      </c>
      <c r="L4">
        <v>1</v>
      </c>
      <c r="M4">
        <v>0</v>
      </c>
      <c r="N4" t="s">
        <v>126</v>
      </c>
      <c r="O4" t="s">
        <v>94</v>
      </c>
      <c r="P4" t="s">
        <v>126</v>
      </c>
      <c r="R4">
        <v>0</v>
      </c>
      <c r="T4">
        <v>1</v>
      </c>
      <c r="U4">
        <v>0</v>
      </c>
      <c r="V4">
        <v>0</v>
      </c>
      <c r="W4">
        <v>0</v>
      </c>
      <c r="X4">
        <v>89.430063709964799</v>
      </c>
      <c r="Y4">
        <v>0</v>
      </c>
      <c r="Z4" t="s">
        <v>94</v>
      </c>
      <c r="AA4">
        <v>0</v>
      </c>
      <c r="AB4" t="s">
        <v>8</v>
      </c>
      <c r="AC4">
        <v>0</v>
      </c>
    </row>
    <row r="5" spans="1:29" x14ac:dyDescent="0.3">
      <c r="A5" t="s">
        <v>206</v>
      </c>
      <c r="B5" t="s">
        <v>206</v>
      </c>
      <c r="D5" t="s">
        <v>51</v>
      </c>
      <c r="E5">
        <v>0</v>
      </c>
      <c r="F5">
        <v>0</v>
      </c>
      <c r="G5" t="s">
        <v>94</v>
      </c>
      <c r="H5">
        <v>0</v>
      </c>
      <c r="I5" t="s">
        <v>8</v>
      </c>
      <c r="K5">
        <v>0</v>
      </c>
      <c r="L5">
        <v>1</v>
      </c>
      <c r="M5">
        <v>0</v>
      </c>
      <c r="N5" t="s">
        <v>126</v>
      </c>
      <c r="O5" t="s">
        <v>94</v>
      </c>
      <c r="P5" t="s">
        <v>126</v>
      </c>
      <c r="R5">
        <v>0</v>
      </c>
      <c r="T5">
        <v>1</v>
      </c>
      <c r="U5">
        <v>0</v>
      </c>
      <c r="V5">
        <v>0</v>
      </c>
      <c r="W5">
        <v>0</v>
      </c>
      <c r="X5">
        <v>89.430063709964799</v>
      </c>
      <c r="Y5">
        <v>0</v>
      </c>
      <c r="Z5" t="s">
        <v>94</v>
      </c>
      <c r="AA5">
        <v>0</v>
      </c>
      <c r="AB5" t="s">
        <v>8</v>
      </c>
      <c r="AC5">
        <v>0</v>
      </c>
    </row>
    <row r="6" spans="1:29" x14ac:dyDescent="0.3">
      <c r="A6" t="s">
        <v>85</v>
      </c>
      <c r="B6" t="s">
        <v>85</v>
      </c>
      <c r="D6" t="s">
        <v>51</v>
      </c>
      <c r="E6">
        <v>0</v>
      </c>
      <c r="F6">
        <v>0</v>
      </c>
      <c r="G6" t="s">
        <v>94</v>
      </c>
      <c r="H6">
        <v>0</v>
      </c>
      <c r="I6" t="s">
        <v>8</v>
      </c>
      <c r="K6">
        <v>0</v>
      </c>
      <c r="L6">
        <v>1</v>
      </c>
      <c r="M6">
        <v>0</v>
      </c>
      <c r="N6" t="s">
        <v>126</v>
      </c>
      <c r="O6" t="s">
        <v>94</v>
      </c>
      <c r="P6" t="s">
        <v>126</v>
      </c>
      <c r="R6">
        <v>0</v>
      </c>
      <c r="T6">
        <v>1</v>
      </c>
      <c r="U6">
        <v>0</v>
      </c>
      <c r="V6">
        <v>0</v>
      </c>
      <c r="W6">
        <v>0</v>
      </c>
      <c r="X6">
        <v>89.430063709964799</v>
      </c>
      <c r="Y6">
        <v>0</v>
      </c>
      <c r="Z6" t="s">
        <v>94</v>
      </c>
      <c r="AA6">
        <v>0</v>
      </c>
      <c r="AB6" t="s">
        <v>8</v>
      </c>
      <c r="AC6">
        <v>0</v>
      </c>
    </row>
    <row r="7" spans="1:29" x14ac:dyDescent="0.3">
      <c r="A7" t="s">
        <v>86</v>
      </c>
      <c r="B7" t="s">
        <v>86</v>
      </c>
      <c r="D7" t="s">
        <v>48</v>
      </c>
      <c r="E7">
        <v>0</v>
      </c>
      <c r="F7">
        <v>0</v>
      </c>
      <c r="G7" t="s">
        <v>94</v>
      </c>
      <c r="H7">
        <v>0</v>
      </c>
      <c r="I7" t="s">
        <v>8</v>
      </c>
      <c r="K7">
        <v>0</v>
      </c>
      <c r="L7">
        <v>1</v>
      </c>
      <c r="M7">
        <v>0</v>
      </c>
      <c r="N7" t="s">
        <v>126</v>
      </c>
      <c r="O7" t="s">
        <v>94</v>
      </c>
      <c r="P7" t="s">
        <v>126</v>
      </c>
      <c r="R7">
        <v>0</v>
      </c>
      <c r="T7">
        <v>1</v>
      </c>
      <c r="U7">
        <v>0</v>
      </c>
      <c r="V7">
        <v>0</v>
      </c>
      <c r="W7">
        <v>0</v>
      </c>
      <c r="X7">
        <v>6427.1686120286704</v>
      </c>
      <c r="Y7">
        <v>0</v>
      </c>
      <c r="Z7" t="s">
        <v>94</v>
      </c>
      <c r="AA7">
        <v>0</v>
      </c>
      <c r="AB7" t="s">
        <v>8</v>
      </c>
      <c r="AC7">
        <v>0</v>
      </c>
    </row>
    <row r="8" spans="1:29" x14ac:dyDescent="0.3">
      <c r="A8" t="s">
        <v>207</v>
      </c>
      <c r="B8" t="s">
        <v>207</v>
      </c>
      <c r="D8" t="s">
        <v>48</v>
      </c>
      <c r="E8">
        <v>0</v>
      </c>
      <c r="F8">
        <v>0</v>
      </c>
      <c r="G8" t="s">
        <v>94</v>
      </c>
      <c r="H8">
        <v>0</v>
      </c>
      <c r="I8" t="s">
        <v>8</v>
      </c>
      <c r="K8">
        <v>0</v>
      </c>
      <c r="L8">
        <v>1</v>
      </c>
      <c r="M8">
        <v>0</v>
      </c>
      <c r="N8" t="s">
        <v>126</v>
      </c>
      <c r="O8" t="s">
        <v>94</v>
      </c>
      <c r="P8" t="s">
        <v>126</v>
      </c>
      <c r="R8">
        <v>0</v>
      </c>
      <c r="T8">
        <v>1</v>
      </c>
      <c r="U8">
        <v>0</v>
      </c>
      <c r="V8">
        <v>0</v>
      </c>
      <c r="W8">
        <v>0</v>
      </c>
      <c r="X8">
        <v>6427.1686120286704</v>
      </c>
      <c r="Y8">
        <v>0</v>
      </c>
      <c r="Z8" t="s">
        <v>94</v>
      </c>
      <c r="AA8">
        <v>0</v>
      </c>
      <c r="AB8" t="s">
        <v>8</v>
      </c>
      <c r="AC8">
        <v>0</v>
      </c>
    </row>
    <row r="9" spans="1:29" x14ac:dyDescent="0.3">
      <c r="A9" t="s">
        <v>208</v>
      </c>
      <c r="B9" t="s">
        <v>208</v>
      </c>
      <c r="D9" t="s">
        <v>48</v>
      </c>
      <c r="E9">
        <v>0</v>
      </c>
      <c r="F9">
        <v>0</v>
      </c>
      <c r="G9" t="s">
        <v>94</v>
      </c>
      <c r="H9">
        <v>0</v>
      </c>
      <c r="I9" t="s">
        <v>8</v>
      </c>
      <c r="K9">
        <v>0</v>
      </c>
      <c r="L9">
        <v>1</v>
      </c>
      <c r="M9">
        <v>0</v>
      </c>
      <c r="N9" t="s">
        <v>126</v>
      </c>
      <c r="O9" t="s">
        <v>94</v>
      </c>
      <c r="P9" t="s">
        <v>126</v>
      </c>
      <c r="R9">
        <v>0</v>
      </c>
      <c r="T9">
        <v>1</v>
      </c>
      <c r="U9">
        <v>0</v>
      </c>
      <c r="V9">
        <v>0</v>
      </c>
      <c r="W9">
        <v>0</v>
      </c>
      <c r="X9">
        <v>6427.1686120286704</v>
      </c>
      <c r="Y9">
        <v>0</v>
      </c>
      <c r="Z9" t="s">
        <v>94</v>
      </c>
      <c r="AA9">
        <v>0</v>
      </c>
      <c r="AB9" t="s">
        <v>8</v>
      </c>
      <c r="AC9">
        <v>0</v>
      </c>
    </row>
    <row r="10" spans="1:29" x14ac:dyDescent="0.3">
      <c r="A10" t="s">
        <v>209</v>
      </c>
      <c r="B10" t="s">
        <v>209</v>
      </c>
      <c r="D10" t="s">
        <v>48</v>
      </c>
      <c r="E10">
        <v>0</v>
      </c>
      <c r="F10">
        <v>0</v>
      </c>
      <c r="G10" t="s">
        <v>94</v>
      </c>
      <c r="H10">
        <v>0</v>
      </c>
      <c r="I10" t="s">
        <v>8</v>
      </c>
      <c r="K10">
        <v>0</v>
      </c>
      <c r="L10">
        <v>1</v>
      </c>
      <c r="M10">
        <v>0</v>
      </c>
      <c r="N10" t="s">
        <v>126</v>
      </c>
      <c r="O10" t="s">
        <v>94</v>
      </c>
      <c r="P10" t="s">
        <v>126</v>
      </c>
      <c r="R10">
        <v>0</v>
      </c>
      <c r="T10">
        <v>1</v>
      </c>
      <c r="U10">
        <v>0</v>
      </c>
      <c r="V10">
        <v>0</v>
      </c>
      <c r="W10">
        <v>0</v>
      </c>
      <c r="X10">
        <v>6427.1686120286704</v>
      </c>
      <c r="Y10">
        <v>0</v>
      </c>
      <c r="Z10" t="s">
        <v>94</v>
      </c>
      <c r="AA10">
        <v>0</v>
      </c>
      <c r="AB10" t="s">
        <v>8</v>
      </c>
      <c r="AC10">
        <v>0</v>
      </c>
    </row>
    <row r="11" spans="1:29" x14ac:dyDescent="0.3">
      <c r="A11" t="s">
        <v>87</v>
      </c>
      <c r="B11" t="s">
        <v>87</v>
      </c>
      <c r="D11" t="s">
        <v>48</v>
      </c>
      <c r="E11">
        <v>0</v>
      </c>
      <c r="F11">
        <v>0</v>
      </c>
      <c r="G11" t="s">
        <v>94</v>
      </c>
      <c r="H11">
        <v>0</v>
      </c>
      <c r="I11" t="s">
        <v>8</v>
      </c>
      <c r="K11">
        <v>0</v>
      </c>
      <c r="L11">
        <v>1</v>
      </c>
      <c r="M11">
        <v>0</v>
      </c>
      <c r="N11" t="s">
        <v>126</v>
      </c>
      <c r="O11" t="s">
        <v>94</v>
      </c>
      <c r="P11" t="s">
        <v>126</v>
      </c>
      <c r="R11">
        <v>0</v>
      </c>
      <c r="T11">
        <v>1</v>
      </c>
      <c r="U11">
        <v>0</v>
      </c>
      <c r="V11">
        <v>0</v>
      </c>
      <c r="W11">
        <v>0</v>
      </c>
      <c r="X11">
        <v>6427.1686120286704</v>
      </c>
      <c r="Y11">
        <v>0</v>
      </c>
      <c r="Z11" t="s">
        <v>94</v>
      </c>
      <c r="AA11">
        <v>0</v>
      </c>
      <c r="AB11" t="s">
        <v>8</v>
      </c>
      <c r="AC1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8</vt:i4>
      </vt:variant>
    </vt:vector>
  </HeadingPairs>
  <TitlesOfParts>
    <vt:vector size="8" baseType="lpstr">
      <vt:lpstr>Carrier</vt:lpstr>
      <vt:lpstr>Bus</vt:lpstr>
      <vt:lpstr>Load</vt:lpstr>
      <vt:lpstr>Line</vt:lpstr>
      <vt:lpstr>Generator</vt:lpstr>
      <vt:lpstr>Link</vt:lpstr>
      <vt:lpstr>StorageUnit</vt:lpstr>
      <vt:lpstr>Store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dc:creator>
  <cp:lastModifiedBy>aless</cp:lastModifiedBy>
  <dcterms:created xsi:type="dcterms:W3CDTF">2025-08-14T07:11:29Z</dcterms:created>
  <dcterms:modified xsi:type="dcterms:W3CDTF">2025-12-11T08:51:28Z</dcterms:modified>
</cp:coreProperties>
</file>