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480" yWindow="60" windowWidth="18192" windowHeight="8508" activeTab="4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3" i="5" l="1"/>
  <c r="M2" i="5" l="1"/>
</calcChain>
</file>

<file path=xl/sharedStrings.xml><?xml version="1.0" encoding="utf-8"?>
<sst xmlns="http://schemas.openxmlformats.org/spreadsheetml/2006/main" count="288" uniqueCount="148">
  <si>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</si>
  <si>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</si>
  <si>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</si>
  <si>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</si>
  <si>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</si>
  <si>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</si>
  <si>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</si>
  <si>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</si>
  <si>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</si>
  <si>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</si>
  <si>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</si>
  <si>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</si>
  <si>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</si>
  <si>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</si>
  <si>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</si>
  <si>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</si>
  <si>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</si>
  <si>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</si>
  <si>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</si>
  <si>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</si>
  <si>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</si>
  <si>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</si>
  <si>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</si>
  <si>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</si>
  <si>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</si>
  <si>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</si>
  <si>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</si>
  <si>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</si>
  <si>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</si>
  <si>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</si>
  <si>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</si>
  <si>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</si>
  <si>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</si>
  <si>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</si>
  <si>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</si>
  <si>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</si>
  <si>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</si>
  <si>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</si>
  <si>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</si>
  <si>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</si>
  <si>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</si>
  <si>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</si>
  <si>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</si>
  <si>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</si>
  <si>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</si>
  <si>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</si>
  <si>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</si>
  <si>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</si>
  <si>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</si>
  <si>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</si>
  <si>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</si>
  <si>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</si>
  <si>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</si>
  <si>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</si>
  <si>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</si>
  <si>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</si>
  <si>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</si>
  <si>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</si>
  <si>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</si>
  <si>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</si>
  <si>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</si>
  <si>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</si>
  <si>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</si>
  <si>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</si>
  <si>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</si>
  <si>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</si>
  <si>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</si>
  <si>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</si>
  <si>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</si>
  <si>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</si>
  <si>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</si>
  <si>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</si>
  <si>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</si>
  <si>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</si>
  <si>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</si>
  <si>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</si>
  <si>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</si>
  <si>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</si>
  <si>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</si>
  <si>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</si>
  <si>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</si>
  <si>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</si>
  <si>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</si>
  <si>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</si>
  <si>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</si>
  <si>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</si>
  <si>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</si>
  <si>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</si>
  <si>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</si>
  <si>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</si>
  <si>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</si>
  <si>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</si>
  <si>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</si>
  <si>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</si>
  <si>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</si>
  <si>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</si>
  <si>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</si>
  <si>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</si>
  <si>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</si>
  <si>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</si>
  <si>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</si>
  <si>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</si>
  <si>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</si>
  <si>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</si>
  <si>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</si>
  <si>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</si>
  <si>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</si>
  <si>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</si>
  <si>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</si>
  <si>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</si>
  <si>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</si>
  <si>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</si>
  <si>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</si>
  <si>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</si>
  <si>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</si>
  <si>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</si>
  <si>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</si>
  <si>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</si>
  <si>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</si>
  <si>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</si>
  <si>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</si>
  <si>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</si>
  <si>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</si>
  <si>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IT0 0 CCGT</t>
  </si>
  <si>
    <t>IT0 0 H2</t>
  </si>
  <si>
    <t>IT0 0 H2 Electrolysis</t>
  </si>
  <si>
    <t>IT0 0 H2 Fuel Cell</t>
  </si>
  <si>
    <t>IT0 1</t>
  </si>
  <si>
    <t>g</t>
  </si>
  <si>
    <t>b</t>
  </si>
  <si>
    <t>s_nom_mod</t>
  </si>
  <si>
    <t>s_nom_min</t>
  </si>
  <si>
    <t>s_nom_max</t>
  </si>
  <si>
    <t>s_nom_set</t>
  </si>
  <si>
    <t>s_max_pu</t>
  </si>
  <si>
    <t>num_parallel</t>
  </si>
  <si>
    <t>v_ang_min</t>
  </si>
  <si>
    <t>v_ang_max</t>
  </si>
  <si>
    <t>x_pu</t>
  </si>
  <si>
    <t>r_pu</t>
  </si>
  <si>
    <t>g_pu</t>
  </si>
  <si>
    <t>b_pu</t>
  </si>
  <si>
    <t>x_pu_eff</t>
  </si>
  <si>
    <t>r_pu_eff</t>
  </si>
  <si>
    <t>s_nom_opt</t>
  </si>
  <si>
    <t>i_nom</t>
  </si>
  <si>
    <t>line 0-1</t>
  </si>
  <si>
    <t>IT0 1 0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</si>
</sst>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101</v>
      </c>
    </row>
    <row r="2" spans="1:2" ht="18.75" customHeight="1" x14ac:dyDescent="0.3">
      <c r="A2" s="1" t="s">
        <v>86</v>
      </c>
      <c r="B2" s="1" t="s">
        <v>102</v>
      </c>
    </row>
    <row r="3" spans="1:2" ht="18.75" customHeight="1" x14ac:dyDescent="0.3">
      <c r="A3" s="1" t="s">
        <v>81</v>
      </c>
      <c r="B3" s="1" t="s">
        <v>103</v>
      </c>
    </row>
    <row r="4" spans="1:2" ht="18.75" customHeight="1" x14ac:dyDescent="0.3">
      <c r="A4" s="1" t="s">
        <v>104</v>
      </c>
      <c r="B4" s="1" t="s">
        <v>105</v>
      </c>
    </row>
    <row r="5" spans="1:2" ht="18.75" customHeight="1" x14ac:dyDescent="0.3">
      <c r="A5" s="1" t="s">
        <v>106</v>
      </c>
      <c r="B5" s="1" t="s">
        <v>107</v>
      </c>
    </row>
    <row r="6" spans="1:2" ht="18.75" customHeight="1" x14ac:dyDescent="0.3">
      <c r="A6" s="1" t="s">
        <v>108</v>
      </c>
      <c r="B6" s="1" t="s">
        <v>109</v>
      </c>
    </row>
    <row r="7" spans="1:2" ht="18.75" customHeight="1" x14ac:dyDescent="0.3">
      <c r="A7" s="1" t="s">
        <v>110</v>
      </c>
      <c r="B7" s="1" t="s">
        <v>111</v>
      </c>
    </row>
    <row r="8" spans="1:2" ht="18.75" customHeight="1" x14ac:dyDescent="0.3">
      <c r="A8" s="1" t="s">
        <v>112</v>
      </c>
      <c r="B8" s="1" t="s">
        <v>113</v>
      </c>
    </row>
    <row r="9" spans="1:2" ht="18.75" customHeight="1" x14ac:dyDescent="0.3">
      <c r="A9" s="1" t="s">
        <v>114</v>
      </c>
      <c r="B9" s="1" t="s">
        <v>115</v>
      </c>
    </row>
    <row r="10" spans="1:2" ht="18.75" customHeight="1" x14ac:dyDescent="0.3">
      <c r="A10" s="1" t="s">
        <v>116</v>
      </c>
      <c r="B10" s="1" t="s">
        <v>117</v>
      </c>
    </row>
    <row r="11" spans="1:2" ht="18.75" customHeight="1" x14ac:dyDescent="0.3">
      <c r="A11" s="1" t="s">
        <v>118</v>
      </c>
      <c r="B11" s="1" t="s">
        <v>119</v>
      </c>
    </row>
    <row r="12" spans="1:2" ht="18.75" customHeight="1" x14ac:dyDescent="0.3">
      <c r="A12" s="1" t="s">
        <v>120</v>
      </c>
      <c r="B12" s="1" t="s">
        <v>119</v>
      </c>
    </row>
    <row r="13" spans="1:2" ht="18.75" customHeight="1" x14ac:dyDescent="0.3">
      <c r="A13" s="1" t="s">
        <v>121</v>
      </c>
      <c r="B13" s="1" t="s">
        <v>119</v>
      </c>
    </row>
    <row r="14" spans="1:2" ht="18.75" customHeight="1" x14ac:dyDescent="0.3">
      <c r="A14" s="1" t="s">
        <v>29</v>
      </c>
      <c r="B14" s="1" t="s">
        <v>115</v>
      </c>
    </row>
    <row r="15" spans="1:2" ht="18.75" customHeight="1" x14ac:dyDescent="0.3">
      <c r="A15" s="1" t="s">
        <v>73</v>
      </c>
      <c r="B15" s="1" t="s">
        <v>115</v>
      </c>
    </row>
    <row r="16" spans="1:2" ht="18.75" customHeight="1" x14ac:dyDescent="0.3">
      <c r="A16" s="1" t="s">
        <v>74</v>
      </c>
      <c r="B16" s="1" t="s">
        <v>115</v>
      </c>
    </row>
    <row r="17" spans="1:2" ht="18.75" customHeight="1" x14ac:dyDescent="0.3">
      <c r="A17" s="1" t="s">
        <v>122</v>
      </c>
      <c r="B17" s="1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4"/>
  <sheetViews>
    <sheetView workbookViewId="0">
      <selection activeCell="A4" sqref="A4:XFD4"/>
    </sheetView>
  </sheetViews>
  <sheetFormatPr defaultRowHeight="14.4" x14ac:dyDescent="0.3"/>
  <cols>
    <col min="1" max="1" width="8.88671875" style="16" bestFit="1" customWidth="1"/>
    <col min="2" max="2" width="8.88671875" style="17" bestFit="1" customWidth="1"/>
    <col min="3" max="3" width="8.88671875" style="5" bestFit="1" customWidth="1"/>
    <col min="4" max="5" width="8.88671875" style="18" bestFit="1" customWidth="1"/>
    <col min="6" max="6" width="8.88671875" style="16" bestFit="1" customWidth="1"/>
    <col min="7" max="7" width="8.88671875" style="5" bestFit="1" customWidth="1"/>
    <col min="8" max="8" width="13.5546875" style="16" bestFit="1" customWidth="1"/>
    <col min="9" max="10" width="13.5546875" style="17" bestFit="1" customWidth="1"/>
    <col min="11" max="12" width="13.5546875" style="16" bestFit="1" customWidth="1"/>
    <col min="13" max="14" width="13.5546875" style="5" bestFit="1" customWidth="1"/>
    <col min="15" max="15" width="13.5546875" style="6" bestFit="1" customWidth="1"/>
    <col min="16" max="16" width="13.5546875" style="16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87</v>
      </c>
      <c r="C1" s="9" t="s">
        <v>2</v>
      </c>
      <c r="D1" s="10" t="s">
        <v>83</v>
      </c>
      <c r="E1" s="10" t="s">
        <v>88</v>
      </c>
      <c r="F1" s="9" t="s">
        <v>3</v>
      </c>
      <c r="G1" s="9" t="s">
        <v>89</v>
      </c>
      <c r="H1" s="9" t="s">
        <v>90</v>
      </c>
      <c r="I1" s="11" t="s">
        <v>91</v>
      </c>
      <c r="J1" s="11" t="s">
        <v>92</v>
      </c>
      <c r="K1" s="9" t="s">
        <v>93</v>
      </c>
      <c r="L1" s="9" t="s">
        <v>76</v>
      </c>
      <c r="M1" s="9" t="s">
        <v>94</v>
      </c>
      <c r="N1" s="9" t="s">
        <v>95</v>
      </c>
      <c r="O1" s="11" t="s">
        <v>96</v>
      </c>
      <c r="P1" s="9" t="s">
        <v>97</v>
      </c>
      <c r="Q1" s="11" t="s">
        <v>98</v>
      </c>
    </row>
    <row r="2" spans="1:17" ht="18.75" customHeight="1" x14ac:dyDescent="0.3">
      <c r="A2" s="9" t="s">
        <v>72</v>
      </c>
      <c r="B2" s="11">
        <v>380</v>
      </c>
      <c r="C2" s="1"/>
      <c r="D2" s="10">
        <v>11.861807419676801</v>
      </c>
      <c r="E2" s="10">
        <v>43.502700216278299</v>
      </c>
      <c r="F2" s="9" t="s">
        <v>86</v>
      </c>
      <c r="G2" s="1"/>
      <c r="H2" s="9"/>
      <c r="I2" s="11">
        <v>1</v>
      </c>
      <c r="J2" s="11">
        <v>0</v>
      </c>
      <c r="K2" s="9" t="s">
        <v>31</v>
      </c>
      <c r="L2" s="9" t="s">
        <v>99</v>
      </c>
      <c r="M2" s="9"/>
      <c r="N2" s="9"/>
      <c r="O2" s="11">
        <v>1</v>
      </c>
      <c r="P2" s="9" t="s">
        <v>100</v>
      </c>
      <c r="Q2" s="11">
        <v>1</v>
      </c>
    </row>
    <row r="3" spans="1:17" ht="18.75" customHeight="1" x14ac:dyDescent="0.3">
      <c r="A3" s="9" t="s">
        <v>124</v>
      </c>
      <c r="B3" s="11">
        <v>1</v>
      </c>
      <c r="D3" s="10">
        <v>11.86</v>
      </c>
      <c r="E3" s="10">
        <v>43.5</v>
      </c>
      <c r="F3" s="9" t="s">
        <v>29</v>
      </c>
      <c r="H3" s="9" t="s">
        <v>72</v>
      </c>
      <c r="I3" s="11">
        <v>1</v>
      </c>
      <c r="J3" s="11">
        <v>0</v>
      </c>
      <c r="K3" s="9" t="s">
        <v>31</v>
      </c>
      <c r="L3" s="9" t="s">
        <v>80</v>
      </c>
      <c r="O3" s="2"/>
      <c r="P3" s="9" t="s">
        <v>100</v>
      </c>
      <c r="Q3" s="2"/>
    </row>
    <row r="4" spans="1:17" x14ac:dyDescent="0.3">
      <c r="A4" s="16" t="s">
        <v>127</v>
      </c>
      <c r="B4" s="17">
        <v>380</v>
      </c>
      <c r="D4" s="18">
        <v>10.1412495388794</v>
      </c>
      <c r="E4" s="18">
        <v>45.348242305968</v>
      </c>
      <c r="F4" s="16" t="s">
        <v>86</v>
      </c>
      <c r="I4" s="17">
        <v>1</v>
      </c>
      <c r="J4" s="17">
        <v>0</v>
      </c>
      <c r="K4" s="16" t="s">
        <v>31</v>
      </c>
      <c r="L4" s="16" t="s">
        <v>80</v>
      </c>
      <c r="O4" s="6" t="s">
        <v>30</v>
      </c>
      <c r="P4" s="16" t="s">
        <v>30</v>
      </c>
      <c r="Q4" s="6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>
      <selection activeCell="A3" sqref="A3:XFD3"/>
    </sheetView>
  </sheetViews>
  <sheetFormatPr defaultRowHeight="14.4" x14ac:dyDescent="0.3"/>
  <cols>
    <col min="1" max="3" width="8.88671875" style="16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72</v>
      </c>
      <c r="B2" s="9" t="s">
        <v>86</v>
      </c>
      <c r="C2" s="9" t="s">
        <v>72</v>
      </c>
    </row>
    <row r="3" spans="1:3" x14ac:dyDescent="0.3">
      <c r="A3" s="16" t="s">
        <v>127</v>
      </c>
      <c r="B3" s="16" t="s">
        <v>86</v>
      </c>
      <c r="C3" s="16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"/>
  <sheetViews>
    <sheetView workbookViewId="0">
      <selection activeCell="K3" sqref="K3"/>
    </sheetView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36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83</v>
      </c>
      <c r="F1" s="9" t="s">
        <v>84</v>
      </c>
      <c r="G1" s="9" t="s">
        <v>128</v>
      </c>
      <c r="H1" s="9" t="s">
        <v>129</v>
      </c>
      <c r="I1" t="s">
        <v>85</v>
      </c>
      <c r="J1" t="s">
        <v>130</v>
      </c>
      <c r="K1" t="s">
        <v>82</v>
      </c>
      <c r="L1" t="s">
        <v>131</v>
      </c>
      <c r="M1" t="s">
        <v>132</v>
      </c>
      <c r="N1" t="s">
        <v>133</v>
      </c>
      <c r="O1" t="s">
        <v>134</v>
      </c>
      <c r="P1" t="s">
        <v>21</v>
      </c>
      <c r="Q1" t="s">
        <v>23</v>
      </c>
      <c r="R1" t="s">
        <v>24</v>
      </c>
      <c r="S1" t="s">
        <v>25</v>
      </c>
      <c r="T1" t="s">
        <v>48</v>
      </c>
      <c r="U1" t="s">
        <v>3</v>
      </c>
      <c r="V1" t="s">
        <v>49</v>
      </c>
      <c r="W1" t="s">
        <v>135</v>
      </c>
      <c r="X1" t="s">
        <v>136</v>
      </c>
      <c r="Y1" t="s">
        <v>137</v>
      </c>
      <c r="Z1" t="s">
        <v>95</v>
      </c>
      <c r="AA1" t="s">
        <v>138</v>
      </c>
      <c r="AB1" t="s">
        <v>139</v>
      </c>
      <c r="AC1" t="s">
        <v>140</v>
      </c>
      <c r="AD1" t="s">
        <v>141</v>
      </c>
      <c r="AE1" t="s">
        <v>142</v>
      </c>
      <c r="AF1" t="s">
        <v>143</v>
      </c>
      <c r="AG1" t="s">
        <v>144</v>
      </c>
      <c r="AH1" t="s">
        <v>87</v>
      </c>
      <c r="AI1" t="s">
        <v>145</v>
      </c>
      <c r="AJ1" t="s">
        <v>64</v>
      </c>
    </row>
    <row r="2" spans="1:36" x14ac:dyDescent="0.3">
      <c r="A2" s="5" t="s">
        <v>146</v>
      </c>
      <c r="B2" s="5" t="s">
        <v>72</v>
      </c>
      <c r="C2" s="5" t="s">
        <v>127</v>
      </c>
      <c r="E2" s="5">
        <v>5</v>
      </c>
      <c r="F2" s="5">
        <v>0.1</v>
      </c>
      <c r="I2">
        <v>100</v>
      </c>
      <c r="K2" t="s">
        <v>32</v>
      </c>
      <c r="L2">
        <v>100</v>
      </c>
      <c r="M2">
        <v>10000</v>
      </c>
      <c r="P2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3"/>
  <sheetViews>
    <sheetView tabSelected="1" topLeftCell="X1" workbookViewId="0">
      <selection activeCell="AD3" sqref="AD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75</v>
      </c>
      <c r="B1" s="1" t="s">
        <v>1</v>
      </c>
      <c r="C1" s="1" t="s">
        <v>76</v>
      </c>
      <c r="D1" s="1" t="s">
        <v>2</v>
      </c>
      <c r="E1" s="14" t="s">
        <v>37</v>
      </c>
      <c r="F1" s="15" t="s">
        <v>43</v>
      </c>
      <c r="G1" s="1" t="s">
        <v>33</v>
      </c>
      <c r="H1" s="14" t="s">
        <v>38</v>
      </c>
      <c r="I1" s="14" t="s">
        <v>44</v>
      </c>
      <c r="J1" s="15" t="s">
        <v>45</v>
      </c>
      <c r="K1" s="15" t="s">
        <v>46</v>
      </c>
      <c r="L1" s="15" t="s">
        <v>15</v>
      </c>
      <c r="M1" s="1" t="s">
        <v>77</v>
      </c>
      <c r="N1" s="1" t="s">
        <v>78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42</v>
      </c>
      <c r="Y1" s="1" t="s">
        <v>50</v>
      </c>
      <c r="Z1" s="15" t="s">
        <v>51</v>
      </c>
      <c r="AA1" s="15" t="s">
        <v>52</v>
      </c>
      <c r="AB1" s="15" t="s">
        <v>47</v>
      </c>
      <c r="AC1" s="15" t="s">
        <v>53</v>
      </c>
      <c r="AD1" s="15" t="s">
        <v>54</v>
      </c>
      <c r="AE1" s="15" t="s">
        <v>55</v>
      </c>
      <c r="AF1" s="15" t="s">
        <v>56</v>
      </c>
      <c r="AG1" s="1" t="s">
        <v>57</v>
      </c>
      <c r="AH1" s="1" t="s">
        <v>58</v>
      </c>
      <c r="AI1" s="15" t="s">
        <v>59</v>
      </c>
      <c r="AJ1" s="15" t="s">
        <v>60</v>
      </c>
      <c r="AK1" s="15" t="s">
        <v>79</v>
      </c>
      <c r="AL1" s="14" t="s">
        <v>61</v>
      </c>
      <c r="AM1" s="15" t="s">
        <v>28</v>
      </c>
    </row>
    <row r="2" spans="1:39" x14ac:dyDescent="0.3">
      <c r="A2" t="s">
        <v>123</v>
      </c>
      <c r="B2" t="s">
        <v>72</v>
      </c>
      <c r="C2" t="s">
        <v>80</v>
      </c>
      <c r="D2"/>
      <c r="E2">
        <v>500</v>
      </c>
      <c r="F2">
        <v>0</v>
      </c>
      <c r="G2" t="s">
        <v>32</v>
      </c>
      <c r="H2">
        <v>1000</v>
      </c>
      <c r="I2">
        <v>1000000</v>
      </c>
      <c r="J2">
        <v>0</v>
      </c>
      <c r="K2">
        <v>1</v>
      </c>
      <c r="L2">
        <v>0</v>
      </c>
      <c r="M2" t="e">
        <f t="shared" ref="M2" si="0">-inf</f>
        <v>#NAME?</v>
      </c>
      <c r="N2" t="s">
        <v>31</v>
      </c>
      <c r="O2">
        <v>0</v>
      </c>
      <c r="P2">
        <v>1</v>
      </c>
      <c r="Q2" t="s">
        <v>108</v>
      </c>
      <c r="R2">
        <v>54.725344874286201</v>
      </c>
      <c r="S2">
        <v>0</v>
      </c>
      <c r="T2" t="s">
        <v>30</v>
      </c>
      <c r="U2">
        <v>0</v>
      </c>
      <c r="V2" t="s">
        <v>31</v>
      </c>
      <c r="W2">
        <v>110915.226328986</v>
      </c>
      <c r="X2">
        <v>0.52684054680077297</v>
      </c>
      <c r="Y2" t="s">
        <v>30</v>
      </c>
      <c r="Z2">
        <v>10</v>
      </c>
      <c r="AA2">
        <v>20</v>
      </c>
      <c r="AB2">
        <v>15</v>
      </c>
      <c r="AC2">
        <v>2</v>
      </c>
      <c r="AD2">
        <v>2</v>
      </c>
      <c r="AE2">
        <v>0</v>
      </c>
      <c r="AF2">
        <v>1</v>
      </c>
      <c r="AG2">
        <v>0.5</v>
      </c>
      <c r="AH2">
        <v>0.4</v>
      </c>
      <c r="AI2">
        <v>0.6</v>
      </c>
      <c r="AJ2">
        <v>0.7</v>
      </c>
      <c r="AK2">
        <v>1</v>
      </c>
      <c r="AL2">
        <v>39535.519999999997</v>
      </c>
      <c r="AM2">
        <v>0</v>
      </c>
    </row>
    <row r="3" spans="1:39" x14ac:dyDescent="0.3">
      <c r="A3" t="s">
        <v>147</v>
      </c>
      <c r="B3" t="s">
        <v>127</v>
      </c>
      <c r="C3" t="s">
        <v>80</v>
      </c>
      <c r="D3"/>
      <c r="E3">
        <v>1000</v>
      </c>
      <c r="F3">
        <v>0</v>
      </c>
      <c r="G3" t="s">
        <v>30</v>
      </c>
      <c r="H3">
        <v>19711.869183731302</v>
      </c>
      <c r="I3">
        <v>725545.55299179</v>
      </c>
      <c r="J3">
        <v>0</v>
      </c>
      <c r="K3">
        <v>1</v>
      </c>
      <c r="L3">
        <v>0</v>
      </c>
      <c r="M3" t="e">
        <f t="shared" ref="M3" si="1">-inf</f>
        <v>#NAME?</v>
      </c>
      <c r="N3" t="s">
        <v>31</v>
      </c>
      <c r="O3">
        <v>0</v>
      </c>
      <c r="P3">
        <v>1</v>
      </c>
      <c r="Q3" t="s">
        <v>81</v>
      </c>
      <c r="R3">
        <v>0.01</v>
      </c>
      <c r="S3">
        <v>0</v>
      </c>
      <c r="T3" t="s">
        <v>30</v>
      </c>
      <c r="U3">
        <v>0</v>
      </c>
      <c r="V3">
        <v>35</v>
      </c>
      <c r="W3">
        <v>54744.164802564301</v>
      </c>
      <c r="X3">
        <v>1</v>
      </c>
      <c r="Y3" t="s">
        <v>32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/>
      <c r="AH3"/>
      <c r="AI3">
        <v>1</v>
      </c>
      <c r="AJ3">
        <v>1</v>
      </c>
      <c r="AK3">
        <v>1</v>
      </c>
      <c r="AL3">
        <v>62875.819329802704</v>
      </c>
      <c r="AM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workbookViewId="0">
      <selection activeCell="L2" sqref="L2:L3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  <row r="2" spans="1:45" ht="18.75" customHeight="1" x14ac:dyDescent="0.3">
      <c r="A2" s="5" t="s">
        <v>125</v>
      </c>
      <c r="B2" s="5" t="s">
        <v>72</v>
      </c>
      <c r="C2" s="5" t="s">
        <v>124</v>
      </c>
      <c r="E2" s="5" t="s">
        <v>73</v>
      </c>
      <c r="F2" s="4">
        <v>0.57999999999999996</v>
      </c>
      <c r="G2" s="5" t="s">
        <v>30</v>
      </c>
      <c r="H2" s="2">
        <v>0</v>
      </c>
      <c r="I2" s="5" t="s">
        <v>31</v>
      </c>
      <c r="J2" s="2">
        <v>100</v>
      </c>
      <c r="K2" s="2">
        <v>0</v>
      </c>
      <c r="L2" s="5" t="s">
        <v>32</v>
      </c>
      <c r="M2" s="2">
        <v>0</v>
      </c>
      <c r="N2" s="12" t="s">
        <v>31</v>
      </c>
      <c r="O2" s="2">
        <v>0</v>
      </c>
      <c r="P2" s="2">
        <v>0</v>
      </c>
      <c r="Q2" s="2">
        <v>1</v>
      </c>
      <c r="R2" s="4">
        <v>251621.03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5" t="s">
        <v>32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G2" s="2">
        <v>1</v>
      </c>
      <c r="AH2" s="2">
        <v>1</v>
      </c>
      <c r="AI2" s="2">
        <v>0</v>
      </c>
      <c r="AL2" s="2"/>
      <c r="AN2" s="2"/>
      <c r="AO2" s="2"/>
      <c r="AP2" s="2"/>
      <c r="AQ2" s="4"/>
      <c r="AR2" s="2">
        <v>0</v>
      </c>
      <c r="AS2" s="2">
        <v>2</v>
      </c>
    </row>
    <row r="3" spans="1:45" ht="18.75" customHeight="1" x14ac:dyDescent="0.3">
      <c r="A3" s="5" t="s">
        <v>126</v>
      </c>
      <c r="B3" s="5" t="s">
        <v>124</v>
      </c>
      <c r="C3" s="5" t="s">
        <v>72</v>
      </c>
      <c r="E3" s="5" t="s">
        <v>74</v>
      </c>
      <c r="F3" s="4">
        <v>0.5</v>
      </c>
      <c r="G3" s="5" t="s">
        <v>30</v>
      </c>
      <c r="H3" s="2">
        <v>0</v>
      </c>
      <c r="I3" s="5" t="s">
        <v>31</v>
      </c>
      <c r="J3" s="2">
        <v>100</v>
      </c>
      <c r="K3" s="2">
        <v>0</v>
      </c>
      <c r="L3" s="5" t="s">
        <v>32</v>
      </c>
      <c r="M3" s="2">
        <v>0</v>
      </c>
      <c r="N3" s="12" t="s">
        <v>31</v>
      </c>
      <c r="O3" s="2">
        <v>0</v>
      </c>
      <c r="P3" s="2">
        <v>0</v>
      </c>
      <c r="Q3" s="2">
        <v>1</v>
      </c>
      <c r="R3" s="4">
        <v>132325.72</v>
      </c>
      <c r="S3" s="2">
        <v>0</v>
      </c>
      <c r="T3" s="2">
        <v>0</v>
      </c>
      <c r="U3" s="2">
        <v>0</v>
      </c>
      <c r="V3" s="2">
        <v>0</v>
      </c>
      <c r="W3" s="2">
        <v>1</v>
      </c>
      <c r="X3" s="5" t="s">
        <v>32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0</v>
      </c>
      <c r="AG3" s="2">
        <v>1</v>
      </c>
      <c r="AH3" s="2">
        <v>1</v>
      </c>
      <c r="AI3" s="2">
        <v>0</v>
      </c>
      <c r="AL3" s="2"/>
      <c r="AN3" s="2"/>
      <c r="AO3" s="2"/>
      <c r="AP3" s="2"/>
      <c r="AQ3" s="4"/>
      <c r="AR3" s="2">
        <v>2</v>
      </c>
      <c r="AS3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22</v>
      </c>
      <c r="I1" s="1" t="s">
        <v>27</v>
      </c>
      <c r="J1" s="1" t="s">
        <v>37</v>
      </c>
      <c r="K1" s="1" t="s">
        <v>38</v>
      </c>
      <c r="L1" s="1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>
      <selection activeCell="G2" sqref="G2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5" t="s">
        <v>124</v>
      </c>
      <c r="B2" s="5" t="s">
        <v>124</v>
      </c>
      <c r="D2" s="5" t="s">
        <v>29</v>
      </c>
      <c r="E2" s="2">
        <v>100</v>
      </c>
      <c r="F2" s="2"/>
      <c r="G2" s="5" t="s">
        <v>32</v>
      </c>
      <c r="H2" s="2">
        <v>0</v>
      </c>
      <c r="I2" s="5" t="s">
        <v>31</v>
      </c>
      <c r="J2" s="2">
        <v>0</v>
      </c>
      <c r="K2" s="2">
        <v>1</v>
      </c>
      <c r="L2" s="2">
        <v>0</v>
      </c>
      <c r="M2" s="5" t="s">
        <v>32</v>
      </c>
      <c r="N2" s="5" t="s">
        <v>32</v>
      </c>
      <c r="O2" s="5" t="s">
        <v>32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4">
        <v>222.49</v>
      </c>
      <c r="W2" s="2">
        <v>0</v>
      </c>
      <c r="X2" s="5" t="s">
        <v>30</v>
      </c>
      <c r="Y2" s="2">
        <v>0</v>
      </c>
      <c r="Z2" s="5" t="s">
        <v>31</v>
      </c>
      <c r="AA2" s="2">
        <v>0</v>
      </c>
      <c r="AB2" s="2">
        <v>10</v>
      </c>
      <c r="AC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2026-03-03T11:24:20Z</dcterms:modified>
</cp:coreProperties>
</file>