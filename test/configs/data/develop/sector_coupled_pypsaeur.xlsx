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N2" i="5" l="1"/>
</calcChain>
</file>

<file path=xl/sharedStrings.xml><?xml version="1.0" encoding="utf-8"?>
<sst xmlns="http://schemas.openxmlformats.org/spreadsheetml/2006/main" count="541" uniqueCount="201">
  <si>
    <t>name</t>
  </si>
  <si>
    <t>co2_emissions</t>
  </si>
  <si>
    <t>color</t>
  </si>
  <si>
    <t>nice_name</t>
  </si>
  <si>
    <t>max_growth</t>
  </si>
  <si>
    <t>max_relative_growth</t>
  </si>
  <si>
    <t>AC</t>
  </si>
  <si>
    <t>#70af1d</t>
  </si>
  <si>
    <t>inf</t>
  </si>
  <si>
    <t>DC</t>
  </si>
  <si>
    <t>#8a1caf</t>
  </si>
  <si>
    <t>solar</t>
  </si>
  <si>
    <t>#f9d002</t>
  </si>
  <si>
    <t>Solar</t>
  </si>
  <si>
    <t>offwind-ac</t>
  </si>
  <si>
    <t>#6895dd</t>
  </si>
  <si>
    <t>Offshore Wind (AC)</t>
  </si>
  <si>
    <t>onwind</t>
  </si>
  <si>
    <t>#235ebc</t>
  </si>
  <si>
    <t>Onshore Wind</t>
  </si>
  <si>
    <t>hydro</t>
  </si>
  <si>
    <t>#298c81</t>
  </si>
  <si>
    <t>Reservoir &amp; Dam</t>
  </si>
  <si>
    <t>ror</t>
  </si>
  <si>
    <t>#3dbfb0</t>
  </si>
  <si>
    <t>Run of River</t>
  </si>
  <si>
    <t>PHS</t>
  </si>
  <si>
    <t>#51dbcc</t>
  </si>
  <si>
    <t>Pumped Hydro Storage</t>
  </si>
  <si>
    <t>none</t>
  </si>
  <si>
    <t>co2</t>
  </si>
  <si>
    <t>#f29dae</t>
  </si>
  <si>
    <t>co2 stored</t>
  </si>
  <si>
    <t>#f2385a</t>
  </si>
  <si>
    <t>co2 sequestered</t>
  </si>
  <si>
    <t>#f2682f</t>
  </si>
  <si>
    <t>gas</t>
  </si>
  <si>
    <t>#e05b09</t>
  </si>
  <si>
    <t>H2</t>
  </si>
  <si>
    <t>#bf13a0</t>
  </si>
  <si>
    <t>Hydrogen Storage</t>
  </si>
  <si>
    <t>battery</t>
  </si>
  <si>
    <t>#ace37f</t>
  </si>
  <si>
    <t>Battery Storage</t>
  </si>
  <si>
    <t>methanol</t>
  </si>
  <si>
    <t>#FF7B00</t>
  </si>
  <si>
    <t>CCGT</t>
  </si>
  <si>
    <t>#a85522</t>
  </si>
  <si>
    <t>Combined-Cycle Gas</t>
  </si>
  <si>
    <t>Sabatier</t>
  </si>
  <si>
    <t>#9850ad</t>
  </si>
  <si>
    <t>CO2 pipeline</t>
  </si>
  <si>
    <t>#f5627f</t>
  </si>
  <si>
    <t>H2 Electrolysis</t>
  </si>
  <si>
    <t>#ff29d9</t>
  </si>
  <si>
    <t>battery discharger</t>
  </si>
  <si>
    <t>#5d4e29</t>
  </si>
  <si>
    <t>OCGT</t>
  </si>
  <si>
    <t>#e0986c</t>
  </si>
  <si>
    <t>Open-Cycle Gas</t>
  </si>
  <si>
    <t>slack</t>
  </si>
  <si>
    <t>Slack Unit</t>
  </si>
  <si>
    <t>v_nom</t>
  </si>
  <si>
    <t>type</t>
  </si>
  <si>
    <t>x</t>
  </si>
  <si>
    <t>y</t>
  </si>
  <si>
    <t>carrier</t>
  </si>
  <si>
    <t>unit</t>
  </si>
  <si>
    <t>location</t>
  </si>
  <si>
    <t>v_mag_pu_set</t>
  </si>
  <si>
    <t>v_mag_pu_min</t>
  </si>
  <si>
    <t>v_mag_pu_max</t>
  </si>
  <si>
    <t>control</t>
  </si>
  <si>
    <t>generator</t>
  </si>
  <si>
    <t>sub_network</t>
  </si>
  <si>
    <t>country</t>
  </si>
  <si>
    <t>substation_lv</t>
  </si>
  <si>
    <t>substation_off</t>
  </si>
  <si>
    <t>IT0 0</t>
  </si>
  <si>
    <t>MWh_el</t>
  </si>
  <si>
    <t>Slack</t>
  </si>
  <si>
    <t>IT0 0 0 solar</t>
  </si>
  <si>
    <t>IT</t>
  </si>
  <si>
    <t>EU</t>
  </si>
  <si>
    <t>slack_unit EU</t>
  </si>
  <si>
    <t>co2 atmosphere</t>
  </si>
  <si>
    <t>t_co2</t>
  </si>
  <si>
    <t>slack_unit co2 atmosphere</t>
  </si>
  <si>
    <t>IT0 0 co2 stored</t>
  </si>
  <si>
    <t>slack_unit IT0 0 co2 stored</t>
  </si>
  <si>
    <t>bus</t>
  </si>
  <si>
    <t>p_set</t>
  </si>
  <si>
    <t>q_set</t>
  </si>
  <si>
    <t>sign</t>
  </si>
  <si>
    <t>active</t>
  </si>
  <si>
    <t>electricity</t>
  </si>
  <si>
    <t>True</t>
  </si>
  <si>
    <t>p_nom</t>
  </si>
  <si>
    <t>p_nom_mod</t>
  </si>
  <si>
    <t>p_nom_extendable</t>
  </si>
  <si>
    <t>p_nom_min</t>
  </si>
  <si>
    <t>p_nom_max</t>
  </si>
  <si>
    <t>p_nom_set</t>
  </si>
  <si>
    <t>p_min_pu</t>
  </si>
  <si>
    <t>p_max_pu</t>
  </si>
  <si>
    <t>e_sum_min</t>
  </si>
  <si>
    <t>e_sum_max</t>
  </si>
  <si>
    <t>marginal_cost</t>
  </si>
  <si>
    <t>marginal_cost_quadratic</t>
  </si>
  <si>
    <t>build_year</t>
  </si>
  <si>
    <t>lifetime</t>
  </si>
  <si>
    <t>capital_cost</t>
  </si>
  <si>
    <t>efficiency</t>
  </si>
  <si>
    <t>committable</t>
  </si>
  <si>
    <t>start_up_cost</t>
  </si>
  <si>
    <t>shut_down_cost</t>
  </si>
  <si>
    <t>stand_by_cost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</si>
  <si>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</si>
  <si>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</si>
  <si>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</si>
  <si>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</si>
  <si>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</si>
  <si>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</si>
  <si>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</si>
  <si>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</si>
  <si>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weight</t>
  </si>
  <si>
    <t>p_nom_opt</t>
  </si>
  <si>
    <t>False</t>
  </si>
  <si>
    <t>PQ</t>
  </si>
  <si>
    <t>IT0 0 ror</t>
  </si>
  <si>
    <t>slack_unit IT0 0</t>
  </si>
  <si>
    <t>slack_unit IT0 0 co2 sequestered</t>
  </si>
  <si>
    <t>IT0 0 co2 sequestered</t>
  </si>
  <si>
    <t>slack_unit EU gas</t>
  </si>
  <si>
    <t>EU gas</t>
  </si>
  <si>
    <t>slack_unit EU methanol</t>
  </si>
  <si>
    <t>EU methanol</t>
  </si>
  <si>
    <t>bus0</t>
  </si>
  <si>
    <t>bus1</t>
  </si>
  <si>
    <t>length</t>
  </si>
  <si>
    <t>terrain_factor</t>
  </si>
  <si>
    <t>bus2</t>
  </si>
  <si>
    <t>efficiency2</t>
  </si>
  <si>
    <t>efficiency3</t>
  </si>
  <si>
    <t>voltage</t>
  </si>
  <si>
    <t>underground</t>
  </si>
  <si>
    <t>under_construction</t>
  </si>
  <si>
    <t>tags</t>
  </si>
  <si>
    <t>geometry</t>
  </si>
  <si>
    <t>dc</t>
  </si>
  <si>
    <t>underwater_fraction</t>
  </si>
  <si>
    <t>project_status</t>
  </si>
  <si>
    <t>reversed</t>
  </si>
  <si>
    <t>length_original</t>
  </si>
  <si>
    <t>IT0 0 OCGT</t>
  </si>
  <si>
    <t>IT0 0 CCGT</t>
  </si>
  <si>
    <t>IT0 0 H2 Electrolysis</t>
  </si>
  <si>
    <t>IT0 0 H2</t>
  </si>
  <si>
    <t>IT0 0 battery charger</t>
  </si>
  <si>
    <t>IT0 0 battery</t>
  </si>
  <si>
    <t>battery charger</t>
  </si>
  <si>
    <t>IT0 0 battery discharger</t>
  </si>
  <si>
    <t>IT0 0 Sabatier</t>
  </si>
  <si>
    <t>p_dispatch_set</t>
  </si>
  <si>
    <t>p_store_set</t>
  </si>
  <si>
    <t>spill_cost</t>
  </si>
  <si>
    <t>marginal_cost_storage</t>
  </si>
  <si>
    <t>state_of_charge_initial</t>
  </si>
  <si>
    <t>state_of_charge_initial_per_period</t>
  </si>
  <si>
    <t>state_of_charge_set</t>
  </si>
  <si>
    <t>cyclic_state_of_charge</t>
  </si>
  <si>
    <t>cyclic_state_of_charge_per_period</t>
  </si>
  <si>
    <t>max_hours</t>
  </si>
  <si>
    <t>efficiency_store</t>
  </si>
  <si>
    <t>efficiency_dispatch</t>
  </si>
  <si>
    <t>standing_loss</t>
  </si>
  <si>
    <t>IT0 0 PHS</t>
  </si>
  <si>
    <t>IT0 0 hydro</t>
  </si>
  <si>
    <t>e_nom</t>
  </si>
  <si>
    <t>e_nom_mod</t>
  </si>
  <si>
    <t>e_nom_extendable</t>
  </si>
  <si>
    <t>e_nom_min</t>
  </si>
  <si>
    <t>e_nom_max</t>
  </si>
  <si>
    <t>e_nom_set</t>
  </si>
  <si>
    <t>e_min_pu</t>
  </si>
  <si>
    <t>e_max_pu</t>
  </si>
  <si>
    <t>e_initial</t>
  </si>
  <si>
    <t>e_initial_per_period</t>
  </si>
  <si>
    <t>e_cyclic</t>
  </si>
  <si>
    <t>e_cyclic_per_period</t>
  </si>
  <si>
    <t>e_set</t>
  </si>
  <si>
    <t>e_nom_opt</t>
  </si>
  <si>
    <t>EU gas Store</t>
  </si>
  <si>
    <t>IT0 0 H2 Store</t>
  </si>
  <si>
    <t>H2 Store</t>
  </si>
  <si>
    <t>EU methanol Store</t>
  </si>
  <si>
    <t>MWh_LHV</t>
  </si>
  <si>
    <t>MWh_th</t>
  </si>
  <si>
    <t>#88a75b</t>
  </si>
  <si>
    <t>#110d63</t>
  </si>
  <si>
    <t>#110d64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</si>
</sst>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D7" sqref="D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 t="s">
        <v>7</v>
      </c>
      <c r="D2" t="s">
        <v>6</v>
      </c>
      <c r="E2" t="s">
        <v>8</v>
      </c>
      <c r="F2">
        <v>0</v>
      </c>
    </row>
    <row r="3" spans="1:6" x14ac:dyDescent="0.3">
      <c r="A3" t="s">
        <v>9</v>
      </c>
      <c r="B3">
        <v>0</v>
      </c>
      <c r="C3" t="s">
        <v>10</v>
      </c>
      <c r="D3" t="s">
        <v>9</v>
      </c>
      <c r="E3" t="s">
        <v>8</v>
      </c>
      <c r="F3">
        <v>0</v>
      </c>
    </row>
    <row r="4" spans="1:6" x14ac:dyDescent="0.3">
      <c r="A4" t="s">
        <v>11</v>
      </c>
      <c r="B4">
        <v>0</v>
      </c>
      <c r="C4" t="s">
        <v>12</v>
      </c>
      <c r="D4" t="s">
        <v>13</v>
      </c>
      <c r="E4" t="s">
        <v>8</v>
      </c>
      <c r="F4">
        <v>0</v>
      </c>
    </row>
    <row r="5" spans="1:6" x14ac:dyDescent="0.3">
      <c r="A5" t="s">
        <v>14</v>
      </c>
      <c r="B5">
        <v>0</v>
      </c>
      <c r="C5" t="s">
        <v>15</v>
      </c>
      <c r="D5" t="s">
        <v>16</v>
      </c>
      <c r="E5" t="s">
        <v>8</v>
      </c>
      <c r="F5">
        <v>0</v>
      </c>
    </row>
    <row r="6" spans="1:6" x14ac:dyDescent="0.3">
      <c r="A6" t="s">
        <v>17</v>
      </c>
      <c r="B6">
        <v>0</v>
      </c>
      <c r="C6" t="s">
        <v>18</v>
      </c>
      <c r="D6" t="s">
        <v>19</v>
      </c>
      <c r="E6" t="s">
        <v>8</v>
      </c>
      <c r="F6">
        <v>0</v>
      </c>
    </row>
    <row r="7" spans="1:6" x14ac:dyDescent="0.3">
      <c r="A7" t="s">
        <v>20</v>
      </c>
      <c r="B7">
        <v>0</v>
      </c>
      <c r="C7" t="s">
        <v>21</v>
      </c>
      <c r="D7" t="s">
        <v>22</v>
      </c>
      <c r="E7" t="s">
        <v>8</v>
      </c>
      <c r="F7">
        <v>0</v>
      </c>
    </row>
    <row r="8" spans="1:6" x14ac:dyDescent="0.3">
      <c r="A8" t="s">
        <v>23</v>
      </c>
      <c r="B8">
        <v>0</v>
      </c>
      <c r="C8" t="s">
        <v>24</v>
      </c>
      <c r="D8" t="s">
        <v>25</v>
      </c>
      <c r="E8" t="s">
        <v>8</v>
      </c>
      <c r="F8">
        <v>0</v>
      </c>
    </row>
    <row r="9" spans="1:6" x14ac:dyDescent="0.3">
      <c r="A9" t="s">
        <v>26</v>
      </c>
      <c r="B9">
        <v>0</v>
      </c>
      <c r="C9" t="s">
        <v>27</v>
      </c>
      <c r="D9" t="s">
        <v>28</v>
      </c>
      <c r="E9" t="s">
        <v>8</v>
      </c>
      <c r="F9">
        <v>0</v>
      </c>
    </row>
    <row r="10" spans="1:6" x14ac:dyDescent="0.3">
      <c r="B10">
        <v>0</v>
      </c>
      <c r="E10" t="s">
        <v>8</v>
      </c>
      <c r="F10">
        <v>0</v>
      </c>
    </row>
    <row r="11" spans="1:6" x14ac:dyDescent="0.3">
      <c r="A11" t="s">
        <v>29</v>
      </c>
      <c r="B11">
        <v>0</v>
      </c>
      <c r="D11" t="s">
        <v>29</v>
      </c>
      <c r="E11" t="s">
        <v>8</v>
      </c>
      <c r="F11">
        <v>0</v>
      </c>
    </row>
    <row r="12" spans="1:6" x14ac:dyDescent="0.3">
      <c r="A12" t="s">
        <v>30</v>
      </c>
      <c r="B12">
        <v>-1</v>
      </c>
      <c r="C12" t="s">
        <v>31</v>
      </c>
      <c r="D12" t="s">
        <v>30</v>
      </c>
      <c r="E12" t="s">
        <v>8</v>
      </c>
      <c r="F12">
        <v>0</v>
      </c>
    </row>
    <row r="13" spans="1:6" x14ac:dyDescent="0.3">
      <c r="A13" t="s">
        <v>32</v>
      </c>
      <c r="B13">
        <v>0</v>
      </c>
      <c r="C13" t="s">
        <v>33</v>
      </c>
      <c r="D13" t="s">
        <v>32</v>
      </c>
      <c r="E13" t="s">
        <v>8</v>
      </c>
      <c r="F13">
        <v>0</v>
      </c>
    </row>
    <row r="14" spans="1:6" x14ac:dyDescent="0.3">
      <c r="A14" t="s">
        <v>34</v>
      </c>
      <c r="B14">
        <v>0</v>
      </c>
      <c r="C14" t="s">
        <v>35</v>
      </c>
      <c r="D14" t="s">
        <v>34</v>
      </c>
      <c r="E14" t="s">
        <v>8</v>
      </c>
      <c r="F14">
        <v>0</v>
      </c>
    </row>
    <row r="15" spans="1:6" x14ac:dyDescent="0.3">
      <c r="A15" t="s">
        <v>36</v>
      </c>
      <c r="B15">
        <v>0</v>
      </c>
      <c r="C15" t="s">
        <v>37</v>
      </c>
      <c r="D15" t="s">
        <v>36</v>
      </c>
      <c r="E15" t="s">
        <v>8</v>
      </c>
      <c r="F15">
        <v>0</v>
      </c>
    </row>
    <row r="16" spans="1:6" x14ac:dyDescent="0.3">
      <c r="A16" t="s">
        <v>38</v>
      </c>
      <c r="B16">
        <v>0</v>
      </c>
      <c r="C16" t="s">
        <v>39</v>
      </c>
      <c r="D16" t="s">
        <v>40</v>
      </c>
      <c r="E16" t="s">
        <v>8</v>
      </c>
      <c r="F16">
        <v>0</v>
      </c>
    </row>
    <row r="17" spans="1:6" x14ac:dyDescent="0.3">
      <c r="A17" t="s">
        <v>41</v>
      </c>
      <c r="B17">
        <v>0</v>
      </c>
      <c r="C17" t="s">
        <v>42</v>
      </c>
      <c r="D17" t="s">
        <v>43</v>
      </c>
      <c r="E17" t="s">
        <v>8</v>
      </c>
      <c r="F17">
        <v>0</v>
      </c>
    </row>
    <row r="18" spans="1:6" x14ac:dyDescent="0.3">
      <c r="A18" t="s">
        <v>44</v>
      </c>
      <c r="B18">
        <v>0</v>
      </c>
      <c r="C18" t="s">
        <v>45</v>
      </c>
      <c r="D18" t="s">
        <v>44</v>
      </c>
      <c r="E18" t="s">
        <v>8</v>
      </c>
      <c r="F18">
        <v>0</v>
      </c>
    </row>
    <row r="19" spans="1:6" x14ac:dyDescent="0.3">
      <c r="A19" t="s">
        <v>46</v>
      </c>
      <c r="B19">
        <v>0</v>
      </c>
      <c r="C19" t="s">
        <v>47</v>
      </c>
      <c r="D19" t="s">
        <v>48</v>
      </c>
      <c r="E19" t="s">
        <v>8</v>
      </c>
      <c r="F19">
        <v>0</v>
      </c>
    </row>
    <row r="20" spans="1:6" x14ac:dyDescent="0.3">
      <c r="A20" t="s">
        <v>49</v>
      </c>
      <c r="B20">
        <v>0</v>
      </c>
      <c r="C20" t="s">
        <v>50</v>
      </c>
      <c r="D20" t="s">
        <v>49</v>
      </c>
      <c r="E20" t="s">
        <v>8</v>
      </c>
      <c r="F20">
        <v>0</v>
      </c>
    </row>
    <row r="21" spans="1:6" x14ac:dyDescent="0.3">
      <c r="A21" t="s">
        <v>51</v>
      </c>
      <c r="B21">
        <v>0</v>
      </c>
      <c r="C21" t="s">
        <v>52</v>
      </c>
      <c r="D21" t="s">
        <v>51</v>
      </c>
      <c r="E21" t="s">
        <v>8</v>
      </c>
      <c r="F21">
        <v>0</v>
      </c>
    </row>
    <row r="22" spans="1:6" x14ac:dyDescent="0.3">
      <c r="A22" t="s">
        <v>53</v>
      </c>
      <c r="B22">
        <v>0</v>
      </c>
      <c r="C22" t="s">
        <v>54</v>
      </c>
      <c r="D22" t="s">
        <v>53</v>
      </c>
      <c r="E22" t="s">
        <v>8</v>
      </c>
      <c r="F22">
        <v>0</v>
      </c>
    </row>
    <row r="23" spans="1:6" x14ac:dyDescent="0.3">
      <c r="A23" t="s">
        <v>55</v>
      </c>
      <c r="B23">
        <v>0</v>
      </c>
      <c r="C23" t="s">
        <v>56</v>
      </c>
      <c r="D23" t="s">
        <v>55</v>
      </c>
      <c r="E23" t="s">
        <v>8</v>
      </c>
      <c r="F23">
        <v>0</v>
      </c>
    </row>
    <row r="24" spans="1:6" x14ac:dyDescent="0.3">
      <c r="A24" t="s">
        <v>57</v>
      </c>
      <c r="B24">
        <v>0</v>
      </c>
      <c r="C24" t="s">
        <v>58</v>
      </c>
      <c r="D24" t="s">
        <v>59</v>
      </c>
      <c r="E24" t="s">
        <v>8</v>
      </c>
      <c r="F24">
        <v>0</v>
      </c>
    </row>
    <row r="25" spans="1:6" x14ac:dyDescent="0.3">
      <c r="A25" t="s">
        <v>160</v>
      </c>
      <c r="B25">
        <v>0</v>
      </c>
      <c r="C25" t="s">
        <v>198</v>
      </c>
      <c r="D25" t="s">
        <v>160</v>
      </c>
      <c r="E25" t="s">
        <v>8</v>
      </c>
      <c r="F25">
        <v>0</v>
      </c>
    </row>
    <row r="26" spans="1:6" x14ac:dyDescent="0.3">
      <c r="A26" t="s">
        <v>194</v>
      </c>
      <c r="B26">
        <v>0</v>
      </c>
      <c r="C26" t="s">
        <v>39</v>
      </c>
      <c r="D26" t="s">
        <v>194</v>
      </c>
      <c r="E26" t="s">
        <v>8</v>
      </c>
      <c r="F26">
        <v>0</v>
      </c>
    </row>
    <row r="27" spans="1:6" x14ac:dyDescent="0.3">
      <c r="A27" t="s">
        <v>95</v>
      </c>
      <c r="B27">
        <v>0</v>
      </c>
      <c r="C27" t="s">
        <v>199</v>
      </c>
      <c r="D27" t="s">
        <v>95</v>
      </c>
      <c r="E27" t="s">
        <v>8</v>
      </c>
      <c r="F27">
        <v>0</v>
      </c>
    </row>
    <row r="28" spans="1:6" x14ac:dyDescent="0.3">
      <c r="A28" t="s">
        <v>60</v>
      </c>
      <c r="B28">
        <v>0</v>
      </c>
      <c r="C28" t="s">
        <v>200</v>
      </c>
      <c r="D28" t="s">
        <v>61</v>
      </c>
      <c r="E28" t="s">
        <v>8</v>
      </c>
      <c r="F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A6" sqref="A6:XFD10"/>
    </sheetView>
  </sheetViews>
  <sheetFormatPr defaultRowHeight="14.4" x14ac:dyDescent="0.3"/>
  <sheetData>
    <row r="1" spans="1:17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 spans="1:17" x14ac:dyDescent="0.3">
      <c r="A2" t="s">
        <v>78</v>
      </c>
      <c r="B2">
        <v>380</v>
      </c>
      <c r="D2">
        <v>11.861807419676801</v>
      </c>
      <c r="E2">
        <v>43.502700216278299</v>
      </c>
      <c r="F2" t="s">
        <v>6</v>
      </c>
      <c r="G2" t="s">
        <v>79</v>
      </c>
      <c r="H2" t="s">
        <v>78</v>
      </c>
      <c r="I2">
        <v>1</v>
      </c>
      <c r="J2">
        <v>0</v>
      </c>
      <c r="K2" t="s">
        <v>8</v>
      </c>
      <c r="L2" t="s">
        <v>80</v>
      </c>
      <c r="M2" t="s">
        <v>81</v>
      </c>
      <c r="N2">
        <v>0</v>
      </c>
      <c r="O2" t="s">
        <v>82</v>
      </c>
      <c r="P2">
        <v>1</v>
      </c>
      <c r="Q2">
        <v>1</v>
      </c>
    </row>
    <row r="3" spans="1:17" x14ac:dyDescent="0.3">
      <c r="A3" t="s">
        <v>83</v>
      </c>
      <c r="B3">
        <v>1</v>
      </c>
      <c r="D3">
        <v>-5.5</v>
      </c>
      <c r="E3">
        <v>46</v>
      </c>
      <c r="F3" t="s">
        <v>29</v>
      </c>
      <c r="H3" t="s">
        <v>83</v>
      </c>
      <c r="I3">
        <v>1</v>
      </c>
      <c r="J3">
        <v>0</v>
      </c>
      <c r="K3" t="s">
        <v>8</v>
      </c>
      <c r="L3" t="s">
        <v>80</v>
      </c>
      <c r="M3" t="s">
        <v>84</v>
      </c>
      <c r="N3">
        <v>2</v>
      </c>
    </row>
    <row r="4" spans="1:17" x14ac:dyDescent="0.3">
      <c r="A4" t="s">
        <v>85</v>
      </c>
      <c r="B4">
        <v>1</v>
      </c>
      <c r="D4">
        <v>-5.5</v>
      </c>
      <c r="E4">
        <v>46</v>
      </c>
      <c r="F4" t="s">
        <v>30</v>
      </c>
      <c r="G4" t="s">
        <v>86</v>
      </c>
      <c r="H4" t="s">
        <v>83</v>
      </c>
      <c r="I4">
        <v>1</v>
      </c>
      <c r="J4">
        <v>0</v>
      </c>
      <c r="K4" t="s">
        <v>8</v>
      </c>
      <c r="L4" t="s">
        <v>80</v>
      </c>
      <c r="M4" t="s">
        <v>87</v>
      </c>
      <c r="N4">
        <v>3</v>
      </c>
    </row>
    <row r="5" spans="1:17" x14ac:dyDescent="0.3">
      <c r="A5" t="s">
        <v>88</v>
      </c>
      <c r="B5">
        <v>1</v>
      </c>
      <c r="D5">
        <v>11.861807419676801</v>
      </c>
      <c r="E5">
        <v>43.502700216278299</v>
      </c>
      <c r="F5" t="s">
        <v>32</v>
      </c>
      <c r="G5" t="s">
        <v>86</v>
      </c>
      <c r="H5" t="s">
        <v>78</v>
      </c>
      <c r="I5">
        <v>1</v>
      </c>
      <c r="J5">
        <v>0</v>
      </c>
      <c r="K5" t="s">
        <v>8</v>
      </c>
      <c r="L5" t="s">
        <v>80</v>
      </c>
      <c r="M5" t="s">
        <v>89</v>
      </c>
      <c r="N5">
        <v>4</v>
      </c>
      <c r="O5" t="s">
        <v>82</v>
      </c>
    </row>
    <row r="6" spans="1:17" x14ac:dyDescent="0.3">
      <c r="A6" t="s">
        <v>132</v>
      </c>
      <c r="B6">
        <v>1</v>
      </c>
      <c r="D6">
        <v>11.861807419676801</v>
      </c>
      <c r="E6">
        <v>43.502700216278299</v>
      </c>
      <c r="F6" t="s">
        <v>34</v>
      </c>
      <c r="G6" t="s">
        <v>86</v>
      </c>
      <c r="H6" t="s">
        <v>78</v>
      </c>
      <c r="I6">
        <v>1</v>
      </c>
      <c r="J6">
        <v>0</v>
      </c>
      <c r="K6" t="s">
        <v>8</v>
      </c>
      <c r="L6" t="s">
        <v>80</v>
      </c>
      <c r="M6" t="s">
        <v>131</v>
      </c>
      <c r="N6">
        <v>6</v>
      </c>
      <c r="O6" t="s">
        <v>82</v>
      </c>
    </row>
    <row r="7" spans="1:17" x14ac:dyDescent="0.3">
      <c r="A7" t="s">
        <v>134</v>
      </c>
      <c r="B7">
        <v>1</v>
      </c>
      <c r="D7">
        <v>-5.5</v>
      </c>
      <c r="E7">
        <v>46</v>
      </c>
      <c r="F7" t="s">
        <v>36</v>
      </c>
      <c r="G7" t="s">
        <v>196</v>
      </c>
      <c r="H7" t="s">
        <v>83</v>
      </c>
      <c r="I7">
        <v>1</v>
      </c>
      <c r="J7">
        <v>0</v>
      </c>
      <c r="K7" t="s">
        <v>8</v>
      </c>
      <c r="L7" t="s">
        <v>80</v>
      </c>
      <c r="M7" t="s">
        <v>133</v>
      </c>
      <c r="N7">
        <v>8</v>
      </c>
    </row>
    <row r="8" spans="1:17" x14ac:dyDescent="0.3">
      <c r="A8" t="s">
        <v>157</v>
      </c>
      <c r="B8">
        <v>1</v>
      </c>
      <c r="D8">
        <v>11.861807419676801</v>
      </c>
      <c r="E8">
        <v>43.502700216278299</v>
      </c>
      <c r="F8" t="s">
        <v>38</v>
      </c>
      <c r="G8" t="s">
        <v>196</v>
      </c>
      <c r="H8" t="s">
        <v>78</v>
      </c>
      <c r="I8">
        <v>1</v>
      </c>
      <c r="J8">
        <v>0</v>
      </c>
      <c r="K8" t="s">
        <v>8</v>
      </c>
      <c r="L8" t="s">
        <v>80</v>
      </c>
      <c r="N8">
        <v>9</v>
      </c>
      <c r="O8" t="s">
        <v>82</v>
      </c>
    </row>
    <row r="9" spans="1:17" x14ac:dyDescent="0.3">
      <c r="A9" t="s">
        <v>159</v>
      </c>
      <c r="B9">
        <v>1</v>
      </c>
      <c r="D9">
        <v>11.861807419676801</v>
      </c>
      <c r="E9">
        <v>43.502700216278299</v>
      </c>
      <c r="F9" t="s">
        <v>41</v>
      </c>
      <c r="G9" t="s">
        <v>79</v>
      </c>
      <c r="H9" t="s">
        <v>78</v>
      </c>
      <c r="I9">
        <v>1</v>
      </c>
      <c r="J9">
        <v>0</v>
      </c>
      <c r="K9" t="s">
        <v>8</v>
      </c>
      <c r="L9" t="s">
        <v>80</v>
      </c>
      <c r="N9">
        <v>11</v>
      </c>
      <c r="O9" t="s">
        <v>82</v>
      </c>
    </row>
    <row r="10" spans="1:17" x14ac:dyDescent="0.3">
      <c r="A10" t="s">
        <v>136</v>
      </c>
      <c r="B10">
        <v>1</v>
      </c>
      <c r="D10">
        <v>-5.5</v>
      </c>
      <c r="E10">
        <v>46</v>
      </c>
      <c r="F10" t="s">
        <v>44</v>
      </c>
      <c r="G10" t="s">
        <v>197</v>
      </c>
      <c r="H10" t="s">
        <v>83</v>
      </c>
      <c r="I10">
        <v>1</v>
      </c>
      <c r="J10">
        <v>0</v>
      </c>
      <c r="K10" t="s">
        <v>8</v>
      </c>
      <c r="L10" t="s">
        <v>80</v>
      </c>
      <c r="M10" t="s">
        <v>135</v>
      </c>
      <c r="N10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16" sqref="D16"/>
    </sheetView>
  </sheetViews>
  <sheetFormatPr defaultRowHeight="14.4" x14ac:dyDescent="0.3"/>
  <sheetData>
    <row r="1" spans="1:8" x14ac:dyDescent="0.3">
      <c r="A1" t="s">
        <v>0</v>
      </c>
      <c r="B1" t="s">
        <v>90</v>
      </c>
      <c r="C1" t="s">
        <v>66</v>
      </c>
      <c r="D1" t="s">
        <v>63</v>
      </c>
      <c r="E1" t="s">
        <v>91</v>
      </c>
      <c r="F1" t="s">
        <v>92</v>
      </c>
      <c r="G1" t="s">
        <v>93</v>
      </c>
      <c r="H1" t="s">
        <v>94</v>
      </c>
    </row>
    <row r="2" spans="1:8" x14ac:dyDescent="0.3">
      <c r="A2" t="s">
        <v>78</v>
      </c>
      <c r="B2" t="s">
        <v>78</v>
      </c>
      <c r="C2" t="s">
        <v>95</v>
      </c>
      <c r="E2">
        <v>0</v>
      </c>
      <c r="F2">
        <v>0</v>
      </c>
      <c r="G2">
        <v>-1</v>
      </c>
      <c r="H2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A5" sqref="A5:XFD10"/>
    </sheetView>
  </sheetViews>
  <sheetFormatPr defaultRowHeight="14.4" x14ac:dyDescent="0.3"/>
  <sheetData>
    <row r="1" spans="1:39" x14ac:dyDescent="0.3">
      <c r="A1" t="s">
        <v>0</v>
      </c>
      <c r="B1" t="s">
        <v>90</v>
      </c>
      <c r="C1" t="s">
        <v>72</v>
      </c>
      <c r="D1" t="s">
        <v>63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91</v>
      </c>
      <c r="N1" t="s">
        <v>105</v>
      </c>
      <c r="O1" t="s">
        <v>106</v>
      </c>
      <c r="P1" t="s">
        <v>92</v>
      </c>
      <c r="Q1" t="s">
        <v>93</v>
      </c>
      <c r="R1" t="s">
        <v>66</v>
      </c>
      <c r="S1" t="s">
        <v>107</v>
      </c>
      <c r="T1" t="s">
        <v>108</v>
      </c>
      <c r="U1" t="s">
        <v>94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</row>
    <row r="2" spans="1:39" x14ac:dyDescent="0.3">
      <c r="A2" t="s">
        <v>81</v>
      </c>
      <c r="B2" t="s">
        <v>78</v>
      </c>
      <c r="C2" t="s">
        <v>80</v>
      </c>
      <c r="E2">
        <v>20326.975357459101</v>
      </c>
      <c r="F2">
        <v>0</v>
      </c>
      <c r="G2" t="s">
        <v>96</v>
      </c>
      <c r="H2">
        <v>20326.975357459101</v>
      </c>
      <c r="I2">
        <v>725545.55299178895</v>
      </c>
      <c r="K2">
        <v>0</v>
      </c>
      <c r="L2">
        <v>1</v>
      </c>
      <c r="N2" t="e">
        <f>-inf</f>
        <v>#NAME?</v>
      </c>
      <c r="O2" t="s">
        <v>8</v>
      </c>
      <c r="P2">
        <v>0</v>
      </c>
      <c r="Q2">
        <v>1</v>
      </c>
      <c r="R2" t="s">
        <v>11</v>
      </c>
      <c r="S2">
        <v>0.01</v>
      </c>
      <c r="T2">
        <v>0</v>
      </c>
      <c r="U2" t="s">
        <v>96</v>
      </c>
      <c r="V2">
        <v>0</v>
      </c>
      <c r="W2">
        <v>40</v>
      </c>
      <c r="X2">
        <v>1189.6300057910801</v>
      </c>
      <c r="Y2">
        <v>1</v>
      </c>
      <c r="Z2" t="s">
        <v>127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J2">
        <v>1</v>
      </c>
      <c r="AK2">
        <v>1</v>
      </c>
      <c r="AL2">
        <v>1</v>
      </c>
      <c r="AM2">
        <v>208760.374172874</v>
      </c>
    </row>
    <row r="3" spans="1:39" x14ac:dyDescent="0.3">
      <c r="A3" t="s">
        <v>129</v>
      </c>
      <c r="B3" t="s">
        <v>78</v>
      </c>
      <c r="C3" t="s">
        <v>128</v>
      </c>
      <c r="E3">
        <v>7326.44</v>
      </c>
      <c r="F3">
        <v>0</v>
      </c>
      <c r="G3" t="s">
        <v>127</v>
      </c>
      <c r="H3">
        <v>0</v>
      </c>
      <c r="I3" t="s">
        <v>8</v>
      </c>
      <c r="K3">
        <v>0</v>
      </c>
      <c r="L3">
        <v>1</v>
      </c>
      <c r="N3" t="e">
        <v>#NAME?</v>
      </c>
      <c r="O3" t="s">
        <v>8</v>
      </c>
      <c r="P3">
        <v>0</v>
      </c>
      <c r="Q3">
        <v>1</v>
      </c>
      <c r="R3" t="s">
        <v>23</v>
      </c>
      <c r="S3">
        <v>0</v>
      </c>
      <c r="T3">
        <v>0</v>
      </c>
      <c r="U3" t="s">
        <v>96</v>
      </c>
      <c r="V3">
        <v>0</v>
      </c>
      <c r="W3" t="s">
        <v>8</v>
      </c>
      <c r="X3">
        <v>8443.0238877658903</v>
      </c>
      <c r="Y3">
        <v>0.9</v>
      </c>
      <c r="Z3" t="s">
        <v>127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J3">
        <v>1</v>
      </c>
      <c r="AK3">
        <v>1</v>
      </c>
      <c r="AL3">
        <v>7326.44</v>
      </c>
      <c r="AM3">
        <v>7326.44</v>
      </c>
    </row>
    <row r="4" spans="1:39" x14ac:dyDescent="0.3">
      <c r="A4" t="s">
        <v>130</v>
      </c>
      <c r="B4" t="s">
        <v>78</v>
      </c>
      <c r="C4" t="s">
        <v>128</v>
      </c>
      <c r="E4">
        <v>53824.000061035098</v>
      </c>
      <c r="F4">
        <v>0</v>
      </c>
      <c r="G4" t="s">
        <v>127</v>
      </c>
      <c r="H4">
        <v>0</v>
      </c>
      <c r="I4" t="s">
        <v>8</v>
      </c>
      <c r="K4">
        <v>0</v>
      </c>
      <c r="L4">
        <v>1</v>
      </c>
      <c r="N4" t="e">
        <v>#NAME?</v>
      </c>
      <c r="O4" t="s">
        <v>8</v>
      </c>
      <c r="P4">
        <v>0</v>
      </c>
      <c r="Q4">
        <v>1</v>
      </c>
      <c r="R4" t="s">
        <v>60</v>
      </c>
      <c r="S4">
        <v>10000</v>
      </c>
      <c r="T4">
        <v>0</v>
      </c>
      <c r="U4" t="s">
        <v>96</v>
      </c>
      <c r="V4">
        <v>0</v>
      </c>
      <c r="W4" t="s">
        <v>8</v>
      </c>
      <c r="X4">
        <v>0</v>
      </c>
      <c r="Y4">
        <v>1</v>
      </c>
      <c r="Z4" t="s">
        <v>127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J4">
        <v>1</v>
      </c>
      <c r="AK4">
        <v>1</v>
      </c>
      <c r="AL4">
        <v>1</v>
      </c>
      <c r="AM4">
        <v>53824.000061035098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workbookViewId="0">
      <selection activeCell="A9" sqref="A9:XFD9"/>
    </sheetView>
  </sheetViews>
  <sheetFormatPr defaultRowHeight="14.4" x14ac:dyDescent="0.3"/>
  <sheetData>
    <row r="1" spans="1:49" x14ac:dyDescent="0.3">
      <c r="A1" t="s">
        <v>0</v>
      </c>
      <c r="B1" t="s">
        <v>137</v>
      </c>
      <c r="C1" t="s">
        <v>138</v>
      </c>
      <c r="D1" t="s">
        <v>63</v>
      </c>
      <c r="E1" t="s">
        <v>66</v>
      </c>
      <c r="F1" t="s">
        <v>112</v>
      </c>
      <c r="G1" t="s">
        <v>94</v>
      </c>
      <c r="H1" t="s">
        <v>109</v>
      </c>
      <c r="I1" t="s">
        <v>110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91</v>
      </c>
      <c r="Q1" t="s">
        <v>103</v>
      </c>
      <c r="R1" t="s">
        <v>104</v>
      </c>
      <c r="S1" t="s">
        <v>111</v>
      </c>
      <c r="T1" t="s">
        <v>107</v>
      </c>
      <c r="U1" t="s">
        <v>108</v>
      </c>
      <c r="V1" t="s">
        <v>116</v>
      </c>
      <c r="W1" t="s">
        <v>139</v>
      </c>
      <c r="X1" t="s">
        <v>140</v>
      </c>
      <c r="Y1" t="s">
        <v>113</v>
      </c>
      <c r="Z1" t="s">
        <v>114</v>
      </c>
      <c r="AA1" t="s">
        <v>115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126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153</v>
      </c>
    </row>
    <row r="2" spans="1:49" x14ac:dyDescent="0.3">
      <c r="A2" t="s">
        <v>132</v>
      </c>
      <c r="B2" t="s">
        <v>88</v>
      </c>
      <c r="C2" t="s">
        <v>132</v>
      </c>
      <c r="E2" t="s">
        <v>34</v>
      </c>
      <c r="F2">
        <v>1</v>
      </c>
      <c r="G2" t="s">
        <v>96</v>
      </c>
      <c r="H2">
        <v>0</v>
      </c>
      <c r="I2" t="s">
        <v>8</v>
      </c>
      <c r="J2">
        <v>0</v>
      </c>
      <c r="K2">
        <v>0</v>
      </c>
      <c r="L2" t="s">
        <v>96</v>
      </c>
      <c r="M2">
        <v>0</v>
      </c>
      <c r="N2" t="s">
        <v>8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 t="s">
        <v>127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H2">
        <v>1</v>
      </c>
      <c r="AI2">
        <v>1</v>
      </c>
      <c r="AJ2" s="1">
        <v>2.8089474324371299E-5</v>
      </c>
      <c r="AL2">
        <v>1</v>
      </c>
      <c r="AV2" t="s">
        <v>127</v>
      </c>
      <c r="AW2">
        <v>0</v>
      </c>
    </row>
    <row r="3" spans="1:49" x14ac:dyDescent="0.3">
      <c r="A3" t="s">
        <v>154</v>
      </c>
      <c r="B3" t="s">
        <v>134</v>
      </c>
      <c r="C3" t="s">
        <v>78</v>
      </c>
      <c r="E3" t="s">
        <v>57</v>
      </c>
      <c r="F3">
        <v>0.43</v>
      </c>
      <c r="G3" t="s">
        <v>96</v>
      </c>
      <c r="H3">
        <v>0</v>
      </c>
      <c r="I3">
        <v>25</v>
      </c>
      <c r="J3">
        <v>0</v>
      </c>
      <c r="K3">
        <v>0</v>
      </c>
      <c r="L3" t="s">
        <v>96</v>
      </c>
      <c r="M3">
        <v>0</v>
      </c>
      <c r="N3" t="s">
        <v>8</v>
      </c>
      <c r="Q3">
        <v>0</v>
      </c>
      <c r="R3">
        <v>1</v>
      </c>
      <c r="S3">
        <v>533.11183006774502</v>
      </c>
      <c r="T3">
        <v>2.0476599999999898</v>
      </c>
      <c r="U3">
        <v>0</v>
      </c>
      <c r="V3">
        <v>0</v>
      </c>
      <c r="W3">
        <v>0</v>
      </c>
      <c r="X3">
        <v>1</v>
      </c>
      <c r="Y3" t="s">
        <v>127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H3">
        <v>1</v>
      </c>
      <c r="AI3">
        <v>1</v>
      </c>
      <c r="AJ3">
        <v>2.2194745448371099E-2</v>
      </c>
      <c r="AK3" t="s">
        <v>85</v>
      </c>
      <c r="AL3">
        <v>0.19800000000000001</v>
      </c>
      <c r="AV3" t="s">
        <v>127</v>
      </c>
      <c r="AW3">
        <v>0</v>
      </c>
    </row>
    <row r="4" spans="1:49" x14ac:dyDescent="0.3">
      <c r="A4" t="s">
        <v>155</v>
      </c>
      <c r="B4" t="s">
        <v>134</v>
      </c>
      <c r="C4" t="s">
        <v>78</v>
      </c>
      <c r="E4" t="s">
        <v>46</v>
      </c>
      <c r="F4">
        <v>0.6</v>
      </c>
      <c r="G4" t="s">
        <v>96</v>
      </c>
      <c r="H4">
        <v>0</v>
      </c>
      <c r="I4">
        <v>25</v>
      </c>
      <c r="J4">
        <v>0</v>
      </c>
      <c r="K4">
        <v>0</v>
      </c>
      <c r="L4" t="s">
        <v>96</v>
      </c>
      <c r="M4">
        <v>0</v>
      </c>
      <c r="N4" t="s">
        <v>8</v>
      </c>
      <c r="Q4">
        <v>0</v>
      </c>
      <c r="R4">
        <v>1</v>
      </c>
      <c r="S4">
        <v>1646.4492859771101</v>
      </c>
      <c r="T4">
        <v>2.5397399999999899</v>
      </c>
      <c r="U4">
        <v>0</v>
      </c>
      <c r="V4">
        <v>0</v>
      </c>
      <c r="W4">
        <v>0</v>
      </c>
      <c r="X4">
        <v>1</v>
      </c>
      <c r="Y4" t="s">
        <v>127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H4">
        <v>1</v>
      </c>
      <c r="AI4">
        <v>1</v>
      </c>
      <c r="AJ4">
        <v>7.49936377254431E-3</v>
      </c>
      <c r="AK4" t="s">
        <v>85</v>
      </c>
      <c r="AL4">
        <v>0.19800000000000001</v>
      </c>
      <c r="AV4" t="s">
        <v>127</v>
      </c>
      <c r="AW4">
        <v>0</v>
      </c>
    </row>
    <row r="5" spans="1:49" x14ac:dyDescent="0.3">
      <c r="A5" t="s">
        <v>156</v>
      </c>
      <c r="B5" t="s">
        <v>78</v>
      </c>
      <c r="C5" t="s">
        <v>157</v>
      </c>
      <c r="E5" t="s">
        <v>53</v>
      </c>
      <c r="F5">
        <v>0.69940000000000002</v>
      </c>
      <c r="G5" t="s">
        <v>96</v>
      </c>
      <c r="H5">
        <v>0</v>
      </c>
      <c r="I5">
        <v>25</v>
      </c>
      <c r="J5">
        <v>0</v>
      </c>
      <c r="K5">
        <v>0</v>
      </c>
      <c r="L5" t="s">
        <v>96</v>
      </c>
      <c r="M5">
        <v>0</v>
      </c>
      <c r="N5" t="s">
        <v>8</v>
      </c>
      <c r="Q5">
        <v>0</v>
      </c>
      <c r="R5">
        <v>1</v>
      </c>
      <c r="S5">
        <v>3446.8634854976799</v>
      </c>
      <c r="T5">
        <v>0</v>
      </c>
      <c r="U5">
        <v>0</v>
      </c>
      <c r="V5">
        <v>0</v>
      </c>
      <c r="W5">
        <v>0</v>
      </c>
      <c r="X5">
        <v>1</v>
      </c>
      <c r="Y5" t="s">
        <v>127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H5">
        <v>1</v>
      </c>
      <c r="AI5">
        <v>1</v>
      </c>
      <c r="AJ5">
        <v>6.9256382184290401E-3</v>
      </c>
      <c r="AL5">
        <v>1</v>
      </c>
      <c r="AV5" t="s">
        <v>127</v>
      </c>
      <c r="AW5">
        <v>0</v>
      </c>
    </row>
    <row r="6" spans="1:49" x14ac:dyDescent="0.3">
      <c r="A6" t="s">
        <v>158</v>
      </c>
      <c r="B6" t="s">
        <v>78</v>
      </c>
      <c r="C6" t="s">
        <v>159</v>
      </c>
      <c r="E6" t="s">
        <v>160</v>
      </c>
      <c r="F6">
        <v>0.97979589711327097</v>
      </c>
      <c r="G6" t="s">
        <v>96</v>
      </c>
      <c r="H6">
        <v>0</v>
      </c>
      <c r="I6">
        <v>10</v>
      </c>
      <c r="J6">
        <v>0</v>
      </c>
      <c r="K6">
        <v>0</v>
      </c>
      <c r="L6" t="s">
        <v>96</v>
      </c>
      <c r="M6">
        <v>0</v>
      </c>
      <c r="N6" t="s">
        <v>8</v>
      </c>
      <c r="Q6">
        <v>0</v>
      </c>
      <c r="R6">
        <v>1</v>
      </c>
      <c r="S6">
        <v>264.61616942511699</v>
      </c>
      <c r="T6">
        <v>0</v>
      </c>
      <c r="U6">
        <v>0</v>
      </c>
      <c r="V6">
        <v>0</v>
      </c>
      <c r="W6">
        <v>0</v>
      </c>
      <c r="X6">
        <v>1</v>
      </c>
      <c r="Y6" t="s">
        <v>127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H6">
        <v>1</v>
      </c>
      <c r="AI6">
        <v>1</v>
      </c>
      <c r="AJ6">
        <v>60150.557122236998</v>
      </c>
      <c r="AL6">
        <v>1</v>
      </c>
      <c r="AV6" t="s">
        <v>127</v>
      </c>
      <c r="AW6">
        <v>0</v>
      </c>
    </row>
    <row r="7" spans="1:49" x14ac:dyDescent="0.3">
      <c r="A7" t="s">
        <v>161</v>
      </c>
      <c r="B7" t="s">
        <v>159</v>
      </c>
      <c r="C7" t="s">
        <v>78</v>
      </c>
      <c r="E7" t="s">
        <v>55</v>
      </c>
      <c r="F7">
        <v>0.97979589711327097</v>
      </c>
      <c r="G7" t="s">
        <v>96</v>
      </c>
      <c r="H7">
        <v>0</v>
      </c>
      <c r="I7">
        <v>10</v>
      </c>
      <c r="J7">
        <v>0</v>
      </c>
      <c r="K7">
        <v>0</v>
      </c>
      <c r="L7" t="s">
        <v>96</v>
      </c>
      <c r="M7">
        <v>0</v>
      </c>
      <c r="N7" t="s">
        <v>8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 t="s">
        <v>127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H7">
        <v>1</v>
      </c>
      <c r="AI7">
        <v>1</v>
      </c>
      <c r="AJ7">
        <v>42992.198029099702</v>
      </c>
      <c r="AL7">
        <v>1</v>
      </c>
      <c r="AV7" t="s">
        <v>127</v>
      </c>
      <c r="AW7">
        <v>0</v>
      </c>
    </row>
    <row r="8" spans="1:49" x14ac:dyDescent="0.3">
      <c r="A8" t="s">
        <v>162</v>
      </c>
      <c r="B8" t="s">
        <v>157</v>
      </c>
      <c r="C8" t="s">
        <v>134</v>
      </c>
      <c r="E8" t="s">
        <v>49</v>
      </c>
      <c r="F8">
        <v>0.8</v>
      </c>
      <c r="G8" t="s">
        <v>96</v>
      </c>
      <c r="H8">
        <v>0</v>
      </c>
      <c r="I8">
        <v>20</v>
      </c>
      <c r="J8">
        <v>0</v>
      </c>
      <c r="K8">
        <v>0</v>
      </c>
      <c r="L8" t="s">
        <v>96</v>
      </c>
      <c r="M8">
        <v>0</v>
      </c>
      <c r="N8" t="s">
        <v>8</v>
      </c>
      <c r="Q8">
        <v>0.3</v>
      </c>
      <c r="R8">
        <v>1</v>
      </c>
      <c r="S8">
        <v>1417.02668259904</v>
      </c>
      <c r="T8">
        <v>0</v>
      </c>
      <c r="U8">
        <v>0</v>
      </c>
      <c r="V8">
        <v>0</v>
      </c>
      <c r="W8">
        <v>0</v>
      </c>
      <c r="X8">
        <v>1</v>
      </c>
      <c r="Y8" t="s">
        <v>127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H8">
        <v>1</v>
      </c>
      <c r="AI8">
        <v>1</v>
      </c>
      <c r="AJ8">
        <v>3.0748994367908999E-4</v>
      </c>
      <c r="AK8" t="s">
        <v>88</v>
      </c>
      <c r="AL8">
        <v>-0.15840000000000001</v>
      </c>
      <c r="AV8" t="s">
        <v>127</v>
      </c>
      <c r="AW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workbookViewId="0">
      <selection activeCell="C13" sqref="C13"/>
    </sheetView>
  </sheetViews>
  <sheetFormatPr defaultRowHeight="14.4" x14ac:dyDescent="0.3"/>
  <sheetData>
    <row r="1" spans="1:35" x14ac:dyDescent="0.3">
      <c r="A1" t="s">
        <v>0</v>
      </c>
      <c r="B1" t="s">
        <v>90</v>
      </c>
      <c r="C1" t="s">
        <v>72</v>
      </c>
      <c r="D1" t="s">
        <v>63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91</v>
      </c>
      <c r="N1" t="s">
        <v>92</v>
      </c>
      <c r="O1" t="s">
        <v>163</v>
      </c>
      <c r="P1" t="s">
        <v>164</v>
      </c>
      <c r="Q1" t="s">
        <v>93</v>
      </c>
      <c r="R1" t="s">
        <v>66</v>
      </c>
      <c r="S1" t="s">
        <v>165</v>
      </c>
      <c r="T1" t="s">
        <v>107</v>
      </c>
      <c r="U1" t="s">
        <v>108</v>
      </c>
      <c r="V1" t="s">
        <v>166</v>
      </c>
      <c r="W1" t="s">
        <v>111</v>
      </c>
      <c r="X1" t="s">
        <v>94</v>
      </c>
      <c r="Y1" t="s">
        <v>109</v>
      </c>
      <c r="Z1" t="s">
        <v>110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  <c r="AI1" t="s">
        <v>175</v>
      </c>
    </row>
    <row r="2" spans="1:35" x14ac:dyDescent="0.3">
      <c r="A2" t="s">
        <v>176</v>
      </c>
      <c r="B2" t="s">
        <v>78</v>
      </c>
      <c r="C2" t="s">
        <v>128</v>
      </c>
      <c r="E2">
        <v>5553.9</v>
      </c>
      <c r="F2">
        <v>0</v>
      </c>
      <c r="G2" t="s">
        <v>127</v>
      </c>
      <c r="H2">
        <v>0</v>
      </c>
      <c r="I2" t="s">
        <v>8</v>
      </c>
      <c r="K2">
        <v>-1</v>
      </c>
      <c r="L2">
        <v>1</v>
      </c>
      <c r="N2">
        <v>0</v>
      </c>
      <c r="Q2">
        <v>1</v>
      </c>
      <c r="R2" t="s">
        <v>26</v>
      </c>
      <c r="S2">
        <v>0</v>
      </c>
      <c r="T2">
        <v>0</v>
      </c>
      <c r="U2">
        <v>0</v>
      </c>
      <c r="V2">
        <v>0</v>
      </c>
      <c r="W2">
        <v>5005.4447833383801</v>
      </c>
      <c r="X2" t="s">
        <v>96</v>
      </c>
      <c r="Y2">
        <v>0</v>
      </c>
      <c r="Z2" t="s">
        <v>8</v>
      </c>
      <c r="AA2">
        <v>358994.11438902101</v>
      </c>
      <c r="AB2" t="s">
        <v>127</v>
      </c>
      <c r="AD2" t="s">
        <v>127</v>
      </c>
      <c r="AE2" t="s">
        <v>127</v>
      </c>
      <c r="AF2">
        <v>64.638202774450605</v>
      </c>
      <c r="AG2">
        <v>0.86602540378443804</v>
      </c>
      <c r="AH2">
        <v>0.86602540378443804</v>
      </c>
      <c r="AI2">
        <v>0</v>
      </c>
    </row>
    <row r="3" spans="1:35" x14ac:dyDescent="0.3">
      <c r="A3" t="s">
        <v>177</v>
      </c>
      <c r="B3" t="s">
        <v>78</v>
      </c>
      <c r="C3" t="s">
        <v>128</v>
      </c>
      <c r="E3">
        <v>4064.8</v>
      </c>
      <c r="F3">
        <v>0</v>
      </c>
      <c r="G3" t="s">
        <v>127</v>
      </c>
      <c r="H3">
        <v>0</v>
      </c>
      <c r="I3" t="s">
        <v>8</v>
      </c>
      <c r="K3">
        <v>0</v>
      </c>
      <c r="L3">
        <v>1</v>
      </c>
      <c r="N3">
        <v>0</v>
      </c>
      <c r="Q3">
        <v>1</v>
      </c>
      <c r="R3" t="s">
        <v>20</v>
      </c>
      <c r="S3">
        <v>0</v>
      </c>
      <c r="T3">
        <v>0</v>
      </c>
      <c r="U3">
        <v>0</v>
      </c>
      <c r="V3">
        <v>0</v>
      </c>
      <c r="W3">
        <v>5005.4447833383801</v>
      </c>
      <c r="X3" t="s">
        <v>96</v>
      </c>
      <c r="Y3">
        <v>0</v>
      </c>
      <c r="Z3" t="s">
        <v>8</v>
      </c>
      <c r="AA3">
        <v>7655173.0714217601</v>
      </c>
      <c r="AB3" t="s">
        <v>127</v>
      </c>
      <c r="AD3" t="s">
        <v>127</v>
      </c>
      <c r="AE3" t="s">
        <v>127</v>
      </c>
      <c r="AF3">
        <v>1883.2840659864501</v>
      </c>
      <c r="AG3">
        <v>0</v>
      </c>
      <c r="AH3">
        <v>0.9</v>
      </c>
      <c r="AI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workbookViewId="0">
      <selection activeCell="H13" sqref="H13"/>
    </sheetView>
  </sheetViews>
  <sheetFormatPr defaultRowHeight="14.4" x14ac:dyDescent="0.3"/>
  <sheetData>
    <row r="1" spans="1:29" x14ac:dyDescent="0.3">
      <c r="A1" t="s">
        <v>0</v>
      </c>
      <c r="B1" t="s">
        <v>90</v>
      </c>
      <c r="C1" t="s">
        <v>63</v>
      </c>
      <c r="D1" t="s">
        <v>66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91</v>
      </c>
      <c r="R1" t="s">
        <v>92</v>
      </c>
      <c r="S1" t="s">
        <v>190</v>
      </c>
      <c r="T1" t="s">
        <v>93</v>
      </c>
      <c r="U1" t="s">
        <v>107</v>
      </c>
      <c r="V1" t="s">
        <v>108</v>
      </c>
      <c r="W1" t="s">
        <v>166</v>
      </c>
      <c r="X1" t="s">
        <v>111</v>
      </c>
      <c r="Y1" t="s">
        <v>175</v>
      </c>
      <c r="Z1" t="s">
        <v>94</v>
      </c>
      <c r="AA1" t="s">
        <v>109</v>
      </c>
      <c r="AB1" t="s">
        <v>110</v>
      </c>
      <c r="AC1" t="s">
        <v>191</v>
      </c>
    </row>
    <row r="2" spans="1:29" x14ac:dyDescent="0.3">
      <c r="A2" t="s">
        <v>85</v>
      </c>
      <c r="B2" t="s">
        <v>85</v>
      </c>
      <c r="D2" t="s">
        <v>30</v>
      </c>
      <c r="E2" t="s">
        <v>8</v>
      </c>
      <c r="F2">
        <v>0</v>
      </c>
      <c r="G2" t="s">
        <v>127</v>
      </c>
      <c r="H2">
        <v>0</v>
      </c>
      <c r="I2" t="s">
        <v>8</v>
      </c>
      <c r="K2">
        <v>-1</v>
      </c>
      <c r="L2">
        <v>1</v>
      </c>
      <c r="M2">
        <v>0</v>
      </c>
      <c r="N2" t="s">
        <v>127</v>
      </c>
      <c r="O2" t="s">
        <v>127</v>
      </c>
      <c r="P2" t="s">
        <v>127</v>
      </c>
      <c r="R2">
        <v>0</v>
      </c>
      <c r="T2">
        <v>1</v>
      </c>
      <c r="U2">
        <v>-300</v>
      </c>
      <c r="V2">
        <v>0</v>
      </c>
      <c r="W2">
        <v>0</v>
      </c>
      <c r="X2">
        <v>0</v>
      </c>
      <c r="Y2">
        <v>0</v>
      </c>
      <c r="Z2" t="s">
        <v>96</v>
      </c>
      <c r="AA2">
        <v>0</v>
      </c>
      <c r="AB2" t="s">
        <v>8</v>
      </c>
      <c r="AC2" t="s">
        <v>8</v>
      </c>
    </row>
    <row r="3" spans="1:29" x14ac:dyDescent="0.3">
      <c r="A3" t="s">
        <v>88</v>
      </c>
      <c r="B3" t="s">
        <v>88</v>
      </c>
      <c r="D3" t="s">
        <v>32</v>
      </c>
      <c r="E3">
        <v>0</v>
      </c>
      <c r="F3">
        <v>0</v>
      </c>
      <c r="G3" t="s">
        <v>96</v>
      </c>
      <c r="H3">
        <v>0</v>
      </c>
      <c r="I3" t="s">
        <v>8</v>
      </c>
      <c r="K3">
        <v>0</v>
      </c>
      <c r="L3">
        <v>1</v>
      </c>
      <c r="M3">
        <v>0</v>
      </c>
      <c r="N3" t="s">
        <v>127</v>
      </c>
      <c r="O3" t="s">
        <v>127</v>
      </c>
      <c r="P3" t="s">
        <v>127</v>
      </c>
      <c r="R3">
        <v>0</v>
      </c>
      <c r="T3">
        <v>1</v>
      </c>
      <c r="U3">
        <v>0</v>
      </c>
      <c r="V3">
        <v>0</v>
      </c>
      <c r="W3">
        <v>0</v>
      </c>
      <c r="X3">
        <v>6.7837683862811398</v>
      </c>
      <c r="Y3">
        <v>0</v>
      </c>
      <c r="Z3" t="s">
        <v>96</v>
      </c>
      <c r="AA3">
        <v>0</v>
      </c>
      <c r="AB3" t="s">
        <v>8</v>
      </c>
      <c r="AC3">
        <v>1.7352546538565199</v>
      </c>
    </row>
    <row r="4" spans="1:29" x14ac:dyDescent="0.3">
      <c r="A4" t="s">
        <v>132</v>
      </c>
      <c r="B4" t="s">
        <v>132</v>
      </c>
      <c r="D4" t="s">
        <v>34</v>
      </c>
      <c r="E4">
        <v>0</v>
      </c>
      <c r="F4">
        <v>0</v>
      </c>
      <c r="G4" t="s">
        <v>96</v>
      </c>
      <c r="H4">
        <v>0</v>
      </c>
      <c r="I4">
        <v>33909684.468837999</v>
      </c>
      <c r="K4">
        <v>0</v>
      </c>
      <c r="L4">
        <v>1</v>
      </c>
      <c r="M4">
        <v>0</v>
      </c>
      <c r="N4" t="s">
        <v>127</v>
      </c>
      <c r="O4" t="s">
        <v>127</v>
      </c>
      <c r="P4" t="s">
        <v>127</v>
      </c>
      <c r="R4">
        <v>0</v>
      </c>
      <c r="T4">
        <v>1</v>
      </c>
      <c r="U4">
        <v>-0.1</v>
      </c>
      <c r="V4">
        <v>0</v>
      </c>
      <c r="W4">
        <v>0</v>
      </c>
      <c r="X4">
        <v>0.82191780821917804</v>
      </c>
      <c r="Y4">
        <v>0</v>
      </c>
      <c r="Z4" t="s">
        <v>96</v>
      </c>
      <c r="AA4">
        <v>0</v>
      </c>
      <c r="AB4">
        <v>50</v>
      </c>
      <c r="AC4">
        <v>15.006896957768401</v>
      </c>
    </row>
    <row r="5" spans="1:29" x14ac:dyDescent="0.3">
      <c r="A5" t="s">
        <v>192</v>
      </c>
      <c r="B5" t="s">
        <v>134</v>
      </c>
      <c r="D5" t="s">
        <v>36</v>
      </c>
      <c r="E5">
        <v>0</v>
      </c>
      <c r="F5">
        <v>0</v>
      </c>
      <c r="G5" t="s">
        <v>96</v>
      </c>
      <c r="H5">
        <v>0</v>
      </c>
      <c r="I5" t="s">
        <v>8</v>
      </c>
      <c r="K5">
        <v>0</v>
      </c>
      <c r="L5">
        <v>1</v>
      </c>
      <c r="M5">
        <v>0</v>
      </c>
      <c r="N5" t="s">
        <v>127</v>
      </c>
      <c r="O5" t="s">
        <v>127</v>
      </c>
      <c r="P5" t="s">
        <v>127</v>
      </c>
      <c r="R5">
        <v>0</v>
      </c>
      <c r="T5">
        <v>1</v>
      </c>
      <c r="U5">
        <v>0</v>
      </c>
      <c r="V5">
        <v>0</v>
      </c>
      <c r="W5">
        <v>0</v>
      </c>
      <c r="X5">
        <v>0.489073361783123</v>
      </c>
      <c r="Y5">
        <v>0</v>
      </c>
      <c r="Z5" t="s">
        <v>96</v>
      </c>
      <c r="AA5">
        <v>0</v>
      </c>
      <c r="AB5" t="s">
        <v>8</v>
      </c>
      <c r="AC5">
        <v>24.3533031770489</v>
      </c>
    </row>
    <row r="6" spans="1:29" x14ac:dyDescent="0.3">
      <c r="A6" t="s">
        <v>193</v>
      </c>
      <c r="B6" t="s">
        <v>157</v>
      </c>
      <c r="D6" t="s">
        <v>194</v>
      </c>
      <c r="E6">
        <v>0</v>
      </c>
      <c r="F6">
        <v>0</v>
      </c>
      <c r="G6" t="s">
        <v>96</v>
      </c>
      <c r="H6">
        <v>0</v>
      </c>
      <c r="I6" t="s">
        <v>8</v>
      </c>
      <c r="K6">
        <v>0</v>
      </c>
      <c r="L6">
        <v>1</v>
      </c>
      <c r="M6">
        <v>0</v>
      </c>
      <c r="N6" t="s">
        <v>127</v>
      </c>
      <c r="O6" t="s">
        <v>127</v>
      </c>
      <c r="P6" t="s">
        <v>127</v>
      </c>
      <c r="R6">
        <v>0</v>
      </c>
      <c r="T6">
        <v>1</v>
      </c>
      <c r="U6">
        <v>0</v>
      </c>
      <c r="V6">
        <v>0</v>
      </c>
      <c r="W6">
        <v>0</v>
      </c>
      <c r="X6">
        <v>60.958238864877401</v>
      </c>
      <c r="Y6">
        <v>0</v>
      </c>
      <c r="Z6" t="s">
        <v>96</v>
      </c>
      <c r="AA6">
        <v>0</v>
      </c>
      <c r="AB6">
        <v>30</v>
      </c>
      <c r="AC6">
        <v>0.47680495305024201</v>
      </c>
    </row>
    <row r="7" spans="1:29" x14ac:dyDescent="0.3">
      <c r="A7" t="s">
        <v>159</v>
      </c>
      <c r="B7" t="s">
        <v>159</v>
      </c>
      <c r="D7" t="s">
        <v>41</v>
      </c>
      <c r="E7">
        <v>0</v>
      </c>
      <c r="F7">
        <v>0</v>
      </c>
      <c r="G7" t="s">
        <v>96</v>
      </c>
      <c r="H7">
        <v>0</v>
      </c>
      <c r="I7" t="s">
        <v>8</v>
      </c>
      <c r="K7">
        <v>0</v>
      </c>
      <c r="L7">
        <v>1</v>
      </c>
      <c r="M7">
        <v>0</v>
      </c>
      <c r="N7" t="s">
        <v>127</v>
      </c>
      <c r="O7" t="s">
        <v>127</v>
      </c>
      <c r="P7" t="s">
        <v>127</v>
      </c>
      <c r="R7">
        <v>0</v>
      </c>
      <c r="T7">
        <v>1</v>
      </c>
      <c r="U7">
        <v>0</v>
      </c>
      <c r="V7">
        <v>0</v>
      </c>
      <c r="W7">
        <v>0</v>
      </c>
      <c r="X7">
        <v>176.086811288456</v>
      </c>
      <c r="Y7">
        <v>0</v>
      </c>
      <c r="Z7" t="s">
        <v>96</v>
      </c>
      <c r="AA7">
        <v>0</v>
      </c>
      <c r="AB7">
        <v>30</v>
      </c>
      <c r="AC7">
        <v>655413.98675183696</v>
      </c>
    </row>
    <row r="8" spans="1:29" x14ac:dyDescent="0.3">
      <c r="A8" t="s">
        <v>195</v>
      </c>
      <c r="B8" t="s">
        <v>136</v>
      </c>
      <c r="D8" t="s">
        <v>44</v>
      </c>
      <c r="E8">
        <v>0</v>
      </c>
      <c r="F8">
        <v>0</v>
      </c>
      <c r="G8" t="s">
        <v>96</v>
      </c>
      <c r="H8">
        <v>0</v>
      </c>
      <c r="I8" t="s">
        <v>8</v>
      </c>
      <c r="K8">
        <v>0</v>
      </c>
      <c r="L8">
        <v>1</v>
      </c>
      <c r="M8">
        <v>0</v>
      </c>
      <c r="N8" t="s">
        <v>127</v>
      </c>
      <c r="O8" t="s">
        <v>127</v>
      </c>
      <c r="P8" t="s">
        <v>127</v>
      </c>
      <c r="R8">
        <v>0</v>
      </c>
      <c r="T8">
        <v>1</v>
      </c>
      <c r="U8">
        <v>0</v>
      </c>
      <c r="V8">
        <v>0</v>
      </c>
      <c r="W8">
        <v>0</v>
      </c>
      <c r="X8">
        <v>0.15420307365899499</v>
      </c>
      <c r="Y8">
        <v>0</v>
      </c>
      <c r="Z8" t="s">
        <v>96</v>
      </c>
      <c r="AA8">
        <v>0</v>
      </c>
      <c r="AB8" t="s">
        <v>8</v>
      </c>
      <c r="AC8">
        <v>70.466031723325798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2026-03-25T14:35:33Z</dcterms:modified>
</cp:coreProperties>
</file>