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3" i="5" l="1"/>
  <c r="M2" i="5" l="1"/>
</calcChain>
</file>

<file path=xl/sharedStrings.xml><?xml version="1.0" encoding="utf-8"?>
<sst xmlns="http://schemas.openxmlformats.org/spreadsheetml/2006/main" count="322" uniqueCount="156">
  <si>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</si>
  <si>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</si>
  <si>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</si>
  <si>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</si>
  <si>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</si>
  <si>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</si>
  <si>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</si>
  <si>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</si>
  <si>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</si>
  <si>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</si>
  <si>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</si>
  <si>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</si>
  <si>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</si>
  <si>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</si>
  <si>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</si>
  <si>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</si>
  <si>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</si>
  <si>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</si>
  <si>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</si>
  <si>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</si>
  <si>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</si>
  <si>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</si>
  <si>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</si>
  <si>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</si>
  <si>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</si>
  <si>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</si>
  <si>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</si>
  <si>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</si>
  <si>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</si>
  <si>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</si>
  <si>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</si>
  <si>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</si>
  <si>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</si>
  <si>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</si>
  <si>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</si>
  <si>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</si>
  <si>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</si>
  <si>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</si>
  <si>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</si>
  <si>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</si>
  <si>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</si>
  <si>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</si>
  <si>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</si>
  <si>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</si>
  <si>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</si>
  <si>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</si>
  <si>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</si>
  <si>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</si>
  <si>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</si>
  <si>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</si>
  <si>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</si>
  <si>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</si>
  <si>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</si>
  <si>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</si>
  <si>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</si>
  <si>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</si>
  <si>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</si>
  <si>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</si>
  <si>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</si>
  <si>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</si>
  <si>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</si>
  <si>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</si>
  <si>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</si>
  <si>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</si>
  <si>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</si>
  <si>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</si>
  <si>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</si>
  <si>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</si>
  <si>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</si>
  <si>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</si>
  <si>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</si>
  <si>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</si>
  <si>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</si>
  <si>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</si>
  <si>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</si>
  <si>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</si>
  <si>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</si>
  <si>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</si>
  <si>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</si>
  <si>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</si>
  <si>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</si>
  <si>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</si>
  <si>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</si>
  <si>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</si>
  <si>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</si>
  <si>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</si>
  <si>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</si>
  <si>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</si>
  <si>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</si>
  <si>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</si>
  <si>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</si>
  <si>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</si>
  <si>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</si>
  <si>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</si>
  <si>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</si>
  <si>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</si>
  <si>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</si>
  <si>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</si>
  <si>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</si>
  <si>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</si>
  <si>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</si>
  <si>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</si>
  <si>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</si>
  <si>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</si>
  <si>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</si>
  <si>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</si>
  <si>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</si>
  <si>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</si>
  <si>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</si>
  <si>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</si>
  <si>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</si>
  <si>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</si>
  <si>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</si>
  <si>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</si>
  <si>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</si>
  <si>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</si>
  <si>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</si>
  <si>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</si>
  <si>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</si>
  <si>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</si>
  <si>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</si>
  <si>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</si>
  <si>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</si>
  <si>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</si>
  <si>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</si>
  <si>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</si>
  <si>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</si>
  <si>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1</t>
  </si>
  <si>
    <t>IT0 1 CCGT</t>
  </si>
  <si>
    <t>CCGT</t>
  </si>
  <si>
    <t>line 0-1</t>
  </si>
  <si>
    <t>g</t>
  </si>
  <si>
    <t>b</t>
  </si>
  <si>
    <t>s_nom_mod</t>
  </si>
  <si>
    <t>s_nom_min</t>
  </si>
  <si>
    <t>s_nom_max</t>
  </si>
  <si>
    <t>s_nom_set</t>
  </si>
  <si>
    <t>s_max_pu</t>
  </si>
  <si>
    <t>num_parallel</t>
  </si>
  <si>
    <t>v_ang_min</t>
  </si>
  <si>
    <t>v_ang_max</t>
  </si>
  <si>
    <t>x_pu</t>
  </si>
  <si>
    <t>r_pu</t>
  </si>
  <si>
    <t>g_pu</t>
  </si>
  <si>
    <t>b_pu</t>
  </si>
  <si>
    <t>x_pu_eff</t>
  </si>
  <si>
    <t>r_pu_eff</t>
  </si>
  <si>
    <t>s_nom_opt</t>
  </si>
  <si>
    <t>i_nom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</si>
  <si>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</si>
  <si>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</si>
  <si>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</si>
  <si>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</si>
  <si>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</si>
  <si>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</si>
  <si>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IT0 0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</si>
</sst>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>
      <selection activeCell="A3" sqref="A3:XFD3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x14ac:dyDescent="0.3">
      <c r="A3" s="17" t="s">
        <v>127</v>
      </c>
      <c r="B3" s="18">
        <v>380</v>
      </c>
      <c r="C3" s="16"/>
      <c r="D3" s="19">
        <v>10.1412495388794</v>
      </c>
      <c r="E3" s="19">
        <v>45.348242305968</v>
      </c>
      <c r="F3" s="17" t="s">
        <v>90</v>
      </c>
      <c r="G3" s="16"/>
      <c r="I3" s="18">
        <v>1</v>
      </c>
      <c r="J3" s="18">
        <v>0</v>
      </c>
      <c r="K3" s="17" t="s">
        <v>32</v>
      </c>
      <c r="L3" s="17" t="s">
        <v>84</v>
      </c>
      <c r="M3" s="16"/>
      <c r="N3" s="16"/>
      <c r="O3" s="6" t="s">
        <v>31</v>
      </c>
      <c r="P3" s="17" t="s">
        <v>31</v>
      </c>
      <c r="Q3" s="6" t="s">
        <v>104</v>
      </c>
    </row>
    <row r="4" spans="1:17" ht="18.75" customHeight="1" x14ac:dyDescent="0.3">
      <c r="A4" s="9" t="s">
        <v>29</v>
      </c>
      <c r="B4" s="11">
        <v>1</v>
      </c>
      <c r="C4" s="1"/>
      <c r="D4" s="10">
        <v>11.86</v>
      </c>
      <c r="E4" s="10">
        <v>43.5</v>
      </c>
      <c r="F4" s="9" t="s">
        <v>30</v>
      </c>
      <c r="G4" s="1"/>
      <c r="H4" s="9" t="s">
        <v>74</v>
      </c>
      <c r="I4" s="11">
        <v>1</v>
      </c>
      <c r="J4" s="11">
        <v>0</v>
      </c>
      <c r="K4" s="9" t="s">
        <v>32</v>
      </c>
      <c r="L4" s="9" t="s">
        <v>84</v>
      </c>
      <c r="M4" s="1"/>
      <c r="N4" s="1"/>
      <c r="O4" s="2"/>
      <c r="P4" s="9" t="s">
        <v>104</v>
      </c>
      <c r="Q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A3" sqref="A3:XFD3"/>
    </sheetView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  <row r="3" spans="1:3" x14ac:dyDescent="0.3">
      <c r="A3" s="17" t="s">
        <v>127</v>
      </c>
      <c r="B3" s="17" t="s">
        <v>90</v>
      </c>
      <c r="C3" s="17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"/>
  <sheetViews>
    <sheetView workbookViewId="0">
      <selection activeCell="B8" sqref="B8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36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87</v>
      </c>
      <c r="F1" s="9" t="s">
        <v>88</v>
      </c>
      <c r="G1" s="9" t="s">
        <v>131</v>
      </c>
      <c r="H1" s="9" t="s">
        <v>132</v>
      </c>
      <c r="I1" t="s">
        <v>89</v>
      </c>
      <c r="J1" t="s">
        <v>133</v>
      </c>
      <c r="K1" t="s">
        <v>86</v>
      </c>
      <c r="L1" t="s">
        <v>134</v>
      </c>
      <c r="M1" t="s">
        <v>135</v>
      </c>
      <c r="N1" t="s">
        <v>136</v>
      </c>
      <c r="O1" t="s">
        <v>137</v>
      </c>
      <c r="P1" t="s">
        <v>21</v>
      </c>
      <c r="Q1" t="s">
        <v>23</v>
      </c>
      <c r="R1" t="s">
        <v>24</v>
      </c>
      <c r="S1" t="s">
        <v>25</v>
      </c>
      <c r="T1" t="s">
        <v>49</v>
      </c>
      <c r="U1" t="s">
        <v>3</v>
      </c>
      <c r="V1" t="s">
        <v>50</v>
      </c>
      <c r="W1" t="s">
        <v>138</v>
      </c>
      <c r="X1" t="s">
        <v>139</v>
      </c>
      <c r="Y1" t="s">
        <v>140</v>
      </c>
      <c r="Z1" t="s">
        <v>99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91</v>
      </c>
      <c r="AI1" t="s">
        <v>148</v>
      </c>
      <c r="AJ1" t="s">
        <v>65</v>
      </c>
    </row>
    <row r="2" spans="1:36" x14ac:dyDescent="0.3">
      <c r="A2" s="16" t="s">
        <v>130</v>
      </c>
      <c r="B2" s="16" t="s">
        <v>74</v>
      </c>
      <c r="C2" s="16" t="s">
        <v>127</v>
      </c>
      <c r="D2" s="16"/>
      <c r="E2" s="16">
        <v>5</v>
      </c>
      <c r="F2" s="16">
        <v>0.1</v>
      </c>
      <c r="G2" s="16"/>
      <c r="H2" s="16"/>
      <c r="I2">
        <v>100</v>
      </c>
      <c r="K2" t="s">
        <v>31</v>
      </c>
      <c r="L2">
        <v>100</v>
      </c>
      <c r="M2">
        <v>10000</v>
      </c>
      <c r="P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"/>
  <sheetViews>
    <sheetView tabSelected="1" workbookViewId="0">
      <selection activeCell="A3" sqref="A3:XFD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19711.869183731302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  <row r="3" spans="1:39" x14ac:dyDescent="0.3">
      <c r="A3" t="s">
        <v>128</v>
      </c>
      <c r="B3" t="s">
        <v>127</v>
      </c>
      <c r="C3" t="s">
        <v>84</v>
      </c>
      <c r="D3"/>
      <c r="E3">
        <v>4476</v>
      </c>
      <c r="F3">
        <v>0</v>
      </c>
      <c r="G3" t="s">
        <v>31</v>
      </c>
      <c r="H3">
        <v>4476</v>
      </c>
      <c r="I3">
        <v>100000</v>
      </c>
      <c r="J3">
        <v>0</v>
      </c>
      <c r="K3">
        <v>1</v>
      </c>
      <c r="L3">
        <v>0</v>
      </c>
      <c r="M3" t="e">
        <f t="shared" ref="M3" si="0">-inf</f>
        <v>#NAME?</v>
      </c>
      <c r="N3" t="s">
        <v>32</v>
      </c>
      <c r="O3">
        <v>0</v>
      </c>
      <c r="P3">
        <v>1</v>
      </c>
      <c r="Q3" t="s">
        <v>129</v>
      </c>
      <c r="R3">
        <v>48.527628571428501</v>
      </c>
      <c r="S3">
        <v>0</v>
      </c>
      <c r="T3" t="s">
        <v>31</v>
      </c>
      <c r="U3">
        <v>0</v>
      </c>
      <c r="V3" t="s">
        <v>32</v>
      </c>
      <c r="W3">
        <v>110915.226328986</v>
      </c>
      <c r="X3">
        <v>0.56000000000000005</v>
      </c>
      <c r="Y3" t="s">
        <v>33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/>
      <c r="AH3"/>
      <c r="AI3">
        <v>1</v>
      </c>
      <c r="AJ3">
        <v>1</v>
      </c>
      <c r="AK3">
        <v>1</v>
      </c>
      <c r="AL3">
        <v>4476</v>
      </c>
      <c r="AM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/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100</v>
      </c>
      <c r="K3" s="2">
        <v>0</v>
      </c>
      <c r="L3" s="1" t="s">
        <v>33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workbookViewId="0">
      <selection activeCell="A9" sqref="A9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149</v>
      </c>
      <c r="B1" t="s">
        <v>1</v>
      </c>
      <c r="C1" t="s">
        <v>79</v>
      </c>
      <c r="D1" t="s">
        <v>2</v>
      </c>
      <c r="E1" t="s">
        <v>38</v>
      </c>
      <c r="F1" t="s">
        <v>44</v>
      </c>
      <c r="G1" t="s">
        <v>34</v>
      </c>
      <c r="H1" t="s">
        <v>39</v>
      </c>
      <c r="I1" t="s">
        <v>45</v>
      </c>
      <c r="J1" t="s">
        <v>46</v>
      </c>
      <c r="K1" t="s">
        <v>47</v>
      </c>
      <c r="L1" t="s">
        <v>15</v>
      </c>
      <c r="M1" t="s">
        <v>16</v>
      </c>
      <c r="N1" t="s">
        <v>17</v>
      </c>
      <c r="O1" t="s">
        <v>3</v>
      </c>
      <c r="P1" t="s">
        <v>150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40</v>
      </c>
      <c r="Y1" t="s">
        <v>151</v>
      </c>
      <c r="Z1" t="s">
        <v>152</v>
      </c>
      <c r="AA1" t="s">
        <v>35</v>
      </c>
      <c r="AB1" t="s">
        <v>153</v>
      </c>
      <c r="AC1" t="s">
        <v>27</v>
      </c>
      <c r="AD1" t="s">
        <v>36</v>
      </c>
      <c r="AE1" t="s">
        <v>37</v>
      </c>
      <c r="AF1" t="s">
        <v>22</v>
      </c>
      <c r="AG1" t="s">
        <v>154</v>
      </c>
      <c r="AH1" t="s">
        <v>62</v>
      </c>
      <c r="AI1" t="s">
        <v>28</v>
      </c>
    </row>
    <row r="2" spans="1:35" x14ac:dyDescent="0.3">
      <c r="A2" t="s">
        <v>155</v>
      </c>
      <c r="B2" t="s">
        <v>74</v>
      </c>
      <c r="C2" t="s">
        <v>84</v>
      </c>
      <c r="D2"/>
      <c r="E2">
        <v>4064.8</v>
      </c>
      <c r="F2">
        <v>0</v>
      </c>
      <c r="G2" t="s">
        <v>33</v>
      </c>
      <c r="H2">
        <v>0</v>
      </c>
      <c r="I2" t="s">
        <v>32</v>
      </c>
      <c r="J2">
        <v>0</v>
      </c>
      <c r="K2">
        <v>1</v>
      </c>
      <c r="L2">
        <v>0</v>
      </c>
      <c r="M2">
        <v>0</v>
      </c>
      <c r="N2">
        <v>1</v>
      </c>
      <c r="O2" t="s">
        <v>116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31</v>
      </c>
      <c r="V2">
        <v>0</v>
      </c>
      <c r="W2" t="s">
        <v>32</v>
      </c>
      <c r="X2">
        <v>7655173.0714217601</v>
      </c>
      <c r="Y2" t="s">
        <v>33</v>
      </c>
      <c r="AA2" t="s">
        <v>33</v>
      </c>
      <c r="AB2" t="s">
        <v>33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/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0</v>
      </c>
      <c r="F2" s="2"/>
      <c r="G2" s="1" t="s">
        <v>31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2026-03-02T09:05:16Z</dcterms:modified>
</cp:coreProperties>
</file>