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less\sms\transformation_pypsa_smspp\test\configs\data\develop\"/>
    </mc:Choice>
  </mc:AlternateContent>
  <bookViews>
    <workbookView xWindow="480" yWindow="60" windowWidth="18192" windowHeight="8508" activeTab="4"/>
  </bookViews>
  <sheets>
    <sheet name="Carrier" sheetId="1" r:id="rId1"/>
    <sheet name="Bus" sheetId="2" r:id="rId2"/>
    <sheet name="Load" sheetId="3" r:id="rId3"/>
    <sheet name="Line" sheetId="4" r:id="rId4"/>
    <sheet name="Generator" sheetId="5" r:id="rId5"/>
    <sheet name="Link" sheetId="6" r:id="rId6"/>
    <sheet name="StorageUnit" sheetId="7" r:id="rId7"/>
    <sheet name="Store" sheetId="8" r:id="rId8"/>
  </sheets>
  <calcPr calcId="152511"/>
</workbook>
</file>

<file path=xl/calcChain.xml><?xml version="1.0" encoding="utf-8"?>
<calcChain xmlns="http://schemas.openxmlformats.org/spreadsheetml/2006/main">
  <c r="N2" i="5" l="1"/>
  <c r="X2" i="4"/>
  <c r="X3" i="4"/>
  <c r="X4" i="4"/>
  <c r="X5" i="4"/>
  <c r="X6" i="4"/>
  <c r="X7" i="4"/>
  <c r="X8" i="4"/>
  <c r="X9" i="4"/>
  <c r="X10" i="4"/>
  <c r="X11" i="4"/>
  <c r="X12" i="4"/>
  <c r="X13" i="4"/>
  <c r="X14" i="4"/>
  <c r="X15" i="4"/>
  <c r="X16" i="4"/>
  <c r="X17" i="4"/>
  <c r="X18" i="4"/>
  <c r="X19" i="4"/>
  <c r="X20" i="4"/>
  <c r="X21" i="4"/>
  <c r="X22" i="4"/>
  <c r="X23" i="4"/>
  <c r="X24" i="4"/>
  <c r="X25" i="4"/>
  <c r="X26" i="4"/>
  <c r="X27" i="4"/>
  <c r="X28" i="4"/>
  <c r="X29" i="4"/>
  <c r="X30" i="4"/>
</calcChain>
</file>

<file path=xl/sharedStrings.xml><?xml version="1.0" encoding="utf-8"?>
<sst xmlns="http://schemas.openxmlformats.org/spreadsheetml/2006/main" count="1701" uniqueCount="331">
  <si>
    <t>name</t>
  </si>
  <si>
    <t>bus</t>
  </si>
  <si>
    <t>type</t>
  </si>
  <si>
    <t>carrier</t>
  </si>
  <si>
    <t>e_nom</t>
  </si>
  <si>
    <t>e_nom_mod</t>
  </si>
  <si>
    <t>e_nom_extendable</t>
  </si>
  <si>
    <t>e_nom_min</t>
  </si>
  <si>
    <t>e_nom_max</t>
  </si>
  <si>
    <t>e_min_pu</t>
  </si>
  <si>
    <t>e_max_pu</t>
  </si>
  <si>
    <t>e_initial</t>
  </si>
  <si>
    <t>e_initial_per_period</t>
  </si>
  <si>
    <t>e_cyclic</t>
  </si>
  <si>
    <t>e_cyclic_per_period</t>
  </si>
  <si>
    <t>p_set</t>
  </si>
  <si>
    <t>q_set</t>
  </si>
  <si>
    <t>sign</t>
  </si>
  <si>
    <t>marginal_cost</t>
  </si>
  <si>
    <t>marginal_cost_quadratic</t>
  </si>
  <si>
    <t>marginal_cost_storage</t>
  </si>
  <si>
    <t>capital_cost</t>
  </si>
  <si>
    <t>standing_loss</t>
  </si>
  <si>
    <t>active</t>
  </si>
  <si>
    <t>build_year</t>
  </si>
  <si>
    <t>lifetime</t>
  </si>
  <si>
    <t>e_nom_opt</t>
  </si>
  <si>
    <t>max_hours</t>
  </si>
  <si>
    <t>bus_idx</t>
  </si>
  <si>
    <t>H2</t>
  </si>
  <si>
    <t>True</t>
  </si>
  <si>
    <t>inf</t>
  </si>
  <si>
    <t>False</t>
  </si>
  <si>
    <t>p_nom_extendable</t>
  </si>
  <si>
    <t>cyclic_state_of_charge</t>
  </si>
  <si>
    <t>efficiency_store</t>
  </si>
  <si>
    <t>efficiency_dispatch</t>
  </si>
  <si>
    <t>p_nom</t>
  </si>
  <si>
    <t>p_nom_min</t>
  </si>
  <si>
    <t>state_of_charge_initial</t>
  </si>
  <si>
    <t>bus0</t>
  </si>
  <si>
    <t>bus1</t>
  </si>
  <si>
    <t>efficiency</t>
  </si>
  <si>
    <t>p_nom_mod</t>
  </si>
  <si>
    <t>p_nom_max</t>
  </si>
  <si>
    <t>p_min_pu</t>
  </si>
  <si>
    <t>p_max_pu</t>
  </si>
  <si>
    <t>stand_by_cost</t>
  </si>
  <si>
    <t>length</t>
  </si>
  <si>
    <t>terrain_factor</t>
  </si>
  <si>
    <t>committable</t>
  </si>
  <si>
    <t>start_up_cost</t>
  </si>
  <si>
    <t>shut_down_cost</t>
  </si>
  <si>
    <t>min_up_time</t>
  </si>
  <si>
    <t>min_down_time</t>
  </si>
  <si>
    <t>up_time_before</t>
  </si>
  <si>
    <t>down_time_before</t>
  </si>
  <si>
    <t>ramp_limit_up</t>
  </si>
  <si>
    <t>ramp_limit_down</t>
  </si>
  <si>
    <t>ramp_limit_start_up</t>
  </si>
  <si>
    <t>ramp_limit_shut_down</t>
  </si>
  <si>
    <t>p_nom_opt</t>
  </si>
  <si>
    <t>tags</t>
  </si>
  <si>
    <t>geometry</t>
  </si>
  <si>
    <t>dc</t>
  </si>
  <si>
    <t>project_status</t>
  </si>
  <si>
    <t>under_construction</t>
  </si>
  <si>
    <t>underground</t>
  </si>
  <si>
    <t>voltage</t>
  </si>
  <si>
    <t>underwater_fraction</t>
  </si>
  <si>
    <t>start_line_idx</t>
  </si>
  <si>
    <t>end_line_idx</t>
  </si>
  <si>
    <t>IT0 0</t>
  </si>
  <si>
    <t>H2 electrolysis</t>
  </si>
  <si>
    <t>H2 fuel cell</t>
  </si>
  <si>
    <t>control</t>
  </si>
  <si>
    <t>e_sum_min</t>
  </si>
  <si>
    <t>e_sum_max</t>
  </si>
  <si>
    <t>weight</t>
  </si>
  <si>
    <t>PQ</t>
  </si>
  <si>
    <t>solar</t>
  </si>
  <si>
    <t>s_nom_extendable</t>
  </si>
  <si>
    <t>x</t>
  </si>
  <si>
    <t>r</t>
  </si>
  <si>
    <t>s_nom</t>
  </si>
  <si>
    <t>AC</t>
  </si>
  <si>
    <t>v_nom</t>
  </si>
  <si>
    <t>y</t>
  </si>
  <si>
    <t>unit</t>
  </si>
  <si>
    <t>location</t>
  </si>
  <si>
    <t>v_mag_pu_set</t>
  </si>
  <si>
    <t>v_mag_pu_min</t>
  </si>
  <si>
    <t>v_mag_pu_max</t>
  </si>
  <si>
    <t>generator</t>
  </si>
  <si>
    <t>sub_network</t>
  </si>
  <si>
    <t>substation_off</t>
  </si>
  <si>
    <t>country</t>
  </si>
  <si>
    <t>substation_lv</t>
  </si>
  <si>
    <t>Slack</t>
  </si>
  <si>
    <t>IT</t>
  </si>
  <si>
    <t>color</t>
  </si>
  <si>
    <t>hydro</t>
  </si>
  <si>
    <t>battery</t>
  </si>
  <si>
    <t>co2_emissions</t>
  </si>
  <si>
    <t>nice_name</t>
  </si>
  <si>
    <t>max_growth</t>
  </si>
  <si>
    <t>max_relative_growth</t>
  </si>
  <si>
    <t>#70af1d</t>
  </si>
  <si>
    <t>DC</t>
  </si>
  <si>
    <t>#8a1caf</t>
  </si>
  <si>
    <t>geothermal</t>
  </si>
  <si>
    <t>#ba91b1</t>
  </si>
  <si>
    <t>biomass</t>
  </si>
  <si>
    <t>#baa741</t>
  </si>
  <si>
    <t>CCGT</t>
  </si>
  <si>
    <t>#a85522</t>
  </si>
  <si>
    <t>Combined-Cycle Gas</t>
  </si>
  <si>
    <t>coal</t>
  </si>
  <si>
    <t>#545454</t>
  </si>
  <si>
    <t>oil</t>
  </si>
  <si>
    <t>#c9c9c9</t>
  </si>
  <si>
    <t>onwind</t>
  </si>
  <si>
    <t>#235ebc</t>
  </si>
  <si>
    <t>Onshore Wind</t>
  </si>
  <si>
    <t>offwind-float</t>
  </si>
  <si>
    <t>#b5e2fa</t>
  </si>
  <si>
    <t>Offshore Wind (Floating)</t>
  </si>
  <si>
    <t>solar-hsat</t>
  </si>
  <si>
    <t>#fdb915</t>
  </si>
  <si>
    <t>#298c81</t>
  </si>
  <si>
    <t>Reservoir &amp; Dam</t>
  </si>
  <si>
    <t>offwind-dc</t>
  </si>
  <si>
    <t>#74c6f2</t>
  </si>
  <si>
    <t>Offshore Wind (DC)</t>
  </si>
  <si>
    <t>offwind-ac</t>
  </si>
  <si>
    <t>#6895dd</t>
  </si>
  <si>
    <t>Offshore Wind (AC)</t>
  </si>
  <si>
    <t>#f9d002</t>
  </si>
  <si>
    <t>Solar</t>
  </si>
  <si>
    <t>PHS</t>
  </si>
  <si>
    <t>#51dbcc</t>
  </si>
  <si>
    <t>Pumped Hydro Storage</t>
  </si>
  <si>
    <t>ror</t>
  </si>
  <si>
    <t>#3dbfb0</t>
  </si>
  <si>
    <t>Run of River</t>
  </si>
  <si>
    <t>#ace37f</t>
  </si>
  <si>
    <t>Battery Storage</t>
  </si>
  <si>
    <t>#bf13a0</t>
  </si>
  <si>
    <t>Hydrogen Storage</t>
  </si>
  <si>
    <t>battery charger</t>
  </si>
  <si>
    <t>#88a75b</t>
  </si>
  <si>
    <t>battery discharger</t>
  </si>
  <si>
    <t>#5d4e29</t>
  </si>
  <si>
    <t>#ff29d9</t>
  </si>
  <si>
    <t>#c251ae</t>
  </si>
  <si>
    <t>IT0 0 CCGT</t>
  </si>
  <si>
    <t>IT0 1</t>
  </si>
  <si>
    <t>IT0 10</t>
  </si>
  <si>
    <t>IT0 11</t>
  </si>
  <si>
    <t>IT0 12</t>
  </si>
  <si>
    <t>IT0 13</t>
  </si>
  <si>
    <t>IT0 14</t>
  </si>
  <si>
    <t>IT0 15</t>
  </si>
  <si>
    <t>IT0 16</t>
  </si>
  <si>
    <t>IT0 17</t>
  </si>
  <si>
    <t>IT0 18</t>
  </si>
  <si>
    <t>IT0 2</t>
  </si>
  <si>
    <t>IT0 3</t>
  </si>
  <si>
    <t>IT0 4</t>
  </si>
  <si>
    <t>IT0 5</t>
  </si>
  <si>
    <t>IT0 6</t>
  </si>
  <si>
    <t>IT0 7</t>
  </si>
  <si>
    <t>IT0 8</t>
  </si>
  <si>
    <t>IT0 9</t>
  </si>
  <si>
    <t>IT1 0</t>
  </si>
  <si>
    <t>IT0 0 H2</t>
  </si>
  <si>
    <t>IT0 1 H2</t>
  </si>
  <si>
    <t>IT0 10 H2</t>
  </si>
  <si>
    <t>IT0 11 H2</t>
  </si>
  <si>
    <t>IT0 12 H2</t>
  </si>
  <si>
    <t>IT0 13 H2</t>
  </si>
  <si>
    <t>IT0 14 H2</t>
  </si>
  <si>
    <t>IT0 15 H2</t>
  </si>
  <si>
    <t>IT0 16 H2</t>
  </si>
  <si>
    <t>IT0 17 H2</t>
  </si>
  <si>
    <t>IT0 18 H2</t>
  </si>
  <si>
    <t>IT0 2 H2</t>
  </si>
  <si>
    <t>IT0 3 H2</t>
  </si>
  <si>
    <t>IT0 4 H2</t>
  </si>
  <si>
    <t>IT0 5 H2</t>
  </si>
  <si>
    <t>IT0 6 H2</t>
  </si>
  <si>
    <t>IT0 7 H2</t>
  </si>
  <si>
    <t>IT0 8 H2</t>
  </si>
  <si>
    <t>IT0 9 H2</t>
  </si>
  <si>
    <t>IT1 0 H2</t>
  </si>
  <si>
    <t>IT0 0 battery</t>
  </si>
  <si>
    <t>IT0 1 battery</t>
  </si>
  <si>
    <t>IT0 10 battery</t>
  </si>
  <si>
    <t>IT0 11 battery</t>
  </si>
  <si>
    <t>IT0 12 battery</t>
  </si>
  <si>
    <t>IT0 13 battery</t>
  </si>
  <si>
    <t>IT0 14 battery</t>
  </si>
  <si>
    <t>IT0 15 battery</t>
  </si>
  <si>
    <t>IT0 16 battery</t>
  </si>
  <si>
    <t>IT0 17 battery</t>
  </si>
  <si>
    <t>IT0 18 battery</t>
  </si>
  <si>
    <t>IT0 2 battery</t>
  </si>
  <si>
    <t>IT0 3 battery</t>
  </si>
  <si>
    <t>IT0 4 battery</t>
  </si>
  <si>
    <t>IT0 5 battery</t>
  </si>
  <si>
    <t>IT0 6 battery</t>
  </si>
  <si>
    <t>IT0 7 battery</t>
  </si>
  <si>
    <t>IT0 8 battery</t>
  </si>
  <si>
    <t>IT0 9 battery</t>
  </si>
  <si>
    <t>IT1 0 battery</t>
  </si>
  <si>
    <t>g</t>
  </si>
  <si>
    <t>b</t>
  </si>
  <si>
    <t>s_nom_mod</t>
  </si>
  <si>
    <t>s_nom_min</t>
  </si>
  <si>
    <t>s_nom_max</t>
  </si>
  <si>
    <t>s_nom_set</t>
  </si>
  <si>
    <t>s_max_pu</t>
  </si>
  <si>
    <t>num_parallel</t>
  </si>
  <si>
    <t>v_ang_min</t>
  </si>
  <si>
    <t>v_ang_max</t>
  </si>
  <si>
    <t>x_pu</t>
  </si>
  <si>
    <t>r_pu</t>
  </si>
  <si>
    <t>g_pu</t>
  </si>
  <si>
    <t>b_pu</t>
  </si>
  <si>
    <t>x_pu_eff</t>
  </si>
  <si>
    <t>r_pu_eff</t>
  </si>
  <si>
    <t>s_nom_opt</t>
  </si>
  <si>
    <t>i_nom</t>
  </si>
  <si>
    <t>Al/St 240/40 4-bundle 380.0</t>
  </si>
  <si>
    <t>p_nom_set</t>
  </si>
  <si>
    <t>relation/8185711-500-DC</t>
  </si>
  <si>
    <t>relation/8185711</t>
  </si>
  <si>
    <t>LINESTRING (8.306507186431089 40.84110865715793, 8.3065975 40.8410218, 8.3076221 40.8404009, 8.3106852 40.8424889, 8.3135283 40.8447798, 8.3138102 40.8452217, 8.3336448 40.8763037, 8.3547585 40.919545, 8.3629986 40.9246682, 8.438959 40.9365347, 8.4637641 40.9377018, 8.4968945 40.9423702, 8.578777 40.9519001, 8.6672684 40.9695948, 8.7741276 41.0055206, 8.7916373 41.0131954, 8.8120433 41.0387725, 8.8171498 41.1805441, 8.9698212 41.2809838, 10.4425021 41.516806, 12.771601 41.3438287, 12.8105575 41.4138493, 12.8113675 41.429471, 12.8075105 41.4306293, 12.806985991114674 41.42980383291617)</t>
  </si>
  <si>
    <t>TYNDP2024_1157</t>
  </si>
  <si>
    <t>in_permitting</t>
  </si>
  <si>
    <t>{name:HG North Tyrrhenian Corridor,url:{name:TYNDP2024_1157,url:https://eepublicdownloads.blob.core.windows.net/public-cdn-container/tyndp-documents/TYNDP2024/240220_TYNDP2024_project_portfolio.xlsx}}</t>
  </si>
  <si>
    <t>LINESTRING (9.409 45.553, 12.015 42.244)</t>
  </si>
  <si>
    <t>TYNDP2024_1166</t>
  </si>
  <si>
    <t>{name:HG Adriatic Corridor,url:{name:TYNDP2024_1166,url:https://eepublicdownloads.blob.core.windows.net/public-cdn-container/tyndp-documents/TYNDP2024/240220_TYNDP2024_project_portfolio.xlsx}}</t>
  </si>
  <si>
    <t>LINESTRING (11.661 44.855, 15.55 41.513)</t>
  </si>
  <si>
    <t>TYNDP2024_1168</t>
  </si>
  <si>
    <t>{name:HG Ionian-Tyrrhenian Corridor,url:{name:TYNDP2024_1168,url:https://eepublicdownloads.blob.core.windows.net/public-cdn-container/tyndp-documents/TYNDP2024/240220_TYNDP2024_project_portfolio.xlsx}}</t>
  </si>
  <si>
    <t>LINESTRING (16.629 39.568, 12.779 41.43)</t>
  </si>
  <si>
    <t>TYNDP2024_1168_1</t>
  </si>
  <si>
    <t>{name:HG Ionian-Tyrrhenian Corridor 2,url:{name:TYNDP2024_1168_1,url:https://eepublicdownloads.blob.core.windows.net/public-cdn-container/tyndp-documents/TYNDP2024/240220_TYNDP2024_project_portfolio.xlsx}}</t>
  </si>
  <si>
    <t>LINESTRING (16.629 39.568, 15.049 37.408)</t>
  </si>
  <si>
    <t>IT0 0 H2 Electrolysis</t>
  </si>
  <si>
    <t>IT0 1 H2 Electrolysis</t>
  </si>
  <si>
    <t>IT0 10 H2 Electrolysis</t>
  </si>
  <si>
    <t>IT0 11 H2 Electrolysis</t>
  </si>
  <si>
    <t>IT0 12 H2 Electrolysis</t>
  </si>
  <si>
    <t>IT0 13 H2 Electrolysis</t>
  </si>
  <si>
    <t>IT0 14 H2 Electrolysis</t>
  </si>
  <si>
    <t>IT0 15 H2 Electrolysis</t>
  </si>
  <si>
    <t>IT0 16 H2 Electrolysis</t>
  </si>
  <si>
    <t>IT0 17 H2 Electrolysis</t>
  </si>
  <si>
    <t>IT0 18 H2 Electrolysis</t>
  </si>
  <si>
    <t>IT0 2 H2 Electrolysis</t>
  </si>
  <si>
    <t>IT0 3 H2 Electrolysis</t>
  </si>
  <si>
    <t>IT0 4 H2 Electrolysis</t>
  </si>
  <si>
    <t>IT0 5 H2 Electrolysis</t>
  </si>
  <si>
    <t>IT0 6 H2 Electrolysis</t>
  </si>
  <si>
    <t>IT0 7 H2 Electrolysis</t>
  </si>
  <si>
    <t>IT0 8 H2 Electrolysis</t>
  </si>
  <si>
    <t>IT0 9 H2 Electrolysis</t>
  </si>
  <si>
    <t>IT1 0 H2 Electrolysis</t>
  </si>
  <si>
    <t>IT0 0 H2 Fuel Cell</t>
  </si>
  <si>
    <t>IT0 1 H2 Fuel Cell</t>
  </si>
  <si>
    <t>IT0 10 H2 Fuel Cell</t>
  </si>
  <si>
    <t>IT0 11 H2 Fuel Cell</t>
  </si>
  <si>
    <t>IT0 12 H2 Fuel Cell</t>
  </si>
  <si>
    <t>IT0 13 H2 Fuel Cell</t>
  </si>
  <si>
    <t>IT0 14 H2 Fuel Cell</t>
  </si>
  <si>
    <t>IT0 15 H2 Fuel Cell</t>
  </si>
  <si>
    <t>IT0 16 H2 Fuel Cell</t>
  </si>
  <si>
    <t>IT0 17 H2 Fuel Cell</t>
  </si>
  <si>
    <t>IT0 18 H2 Fuel Cell</t>
  </si>
  <si>
    <t>IT0 2 H2 Fuel Cell</t>
  </si>
  <si>
    <t>IT0 3 H2 Fuel Cell</t>
  </si>
  <si>
    <t>IT0 4 H2 Fuel Cell</t>
  </si>
  <si>
    <t>IT0 5 H2 Fuel Cell</t>
  </si>
  <si>
    <t>IT0 6 H2 Fuel Cell</t>
  </si>
  <si>
    <t>IT0 7 H2 Fuel Cell</t>
  </si>
  <si>
    <t>IT0 8 H2 Fuel Cell</t>
  </si>
  <si>
    <t>IT0 9 H2 Fuel Cell</t>
  </si>
  <si>
    <t>IT1 0 H2 Fuel Cell</t>
  </si>
  <si>
    <t>IT0 0 battery charger</t>
  </si>
  <si>
    <t>IT0 1 battery charger</t>
  </si>
  <si>
    <t>IT0 10 battery charger</t>
  </si>
  <si>
    <t>IT0 11 battery charger</t>
  </si>
  <si>
    <t>IT0 12 battery charger</t>
  </si>
  <si>
    <t>IT0 13 battery charger</t>
  </si>
  <si>
    <t>IT0 14 battery charger</t>
  </si>
  <si>
    <t>IT0 15 battery charger</t>
  </si>
  <si>
    <t>IT0 16 battery charger</t>
  </si>
  <si>
    <t>IT0 17 battery charger</t>
  </si>
  <si>
    <t>IT0 18 battery charger</t>
  </si>
  <si>
    <t>IT0 2 battery charger</t>
  </si>
  <si>
    <t>IT0 3 battery charger</t>
  </si>
  <si>
    <t>IT0 4 battery charger</t>
  </si>
  <si>
    <t>IT0 5 battery charger</t>
  </si>
  <si>
    <t>IT0 6 battery charger</t>
  </si>
  <si>
    <t>IT0 7 battery charger</t>
  </si>
  <si>
    <t>IT0 8 battery charger</t>
  </si>
  <si>
    <t>IT0 9 battery charger</t>
  </si>
  <si>
    <t>IT1 0 battery charger</t>
  </si>
  <si>
    <t>IT0 0 battery discharger</t>
  </si>
  <si>
    <t>IT0 1 battery discharger</t>
  </si>
  <si>
    <t>IT0 10 battery discharger</t>
  </si>
  <si>
    <t>IT0 11 battery discharger</t>
  </si>
  <si>
    <t>IT0 12 battery discharger</t>
  </si>
  <si>
    <t>IT0 13 battery discharger</t>
  </si>
  <si>
    <t>IT0 14 battery discharger</t>
  </si>
  <si>
    <t>IT0 15 battery discharger</t>
  </si>
  <si>
    <t>IT0 16 battery discharger</t>
  </si>
  <si>
    <t>IT0 17 battery discharger</t>
  </si>
  <si>
    <t>IT0 18 battery discharger</t>
  </si>
  <si>
    <t>IT0 2 battery discharger</t>
  </si>
  <si>
    <t>IT0 3 battery discharger</t>
  </si>
  <si>
    <t>IT0 4 battery discharger</t>
  </si>
  <si>
    <t>IT0 5 battery discharger</t>
  </si>
  <si>
    <t>IT0 6 battery discharger</t>
  </si>
  <si>
    <t>IT0 7 battery discharger</t>
  </si>
  <si>
    <t>IT0 8 battery discharger</t>
  </si>
  <si>
    <t>IT0 9 battery discharger</t>
  </si>
  <si>
    <t>IT1 0 battery discharger</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</si>
</sst>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1">
    <xf numFmtId="0" fontId="0" fillId="0" borderId="0" xfId="0"/>
    <xf numFmtId="0" fontId="0" fillId="0" borderId="0" xfId="0" applyAlignment="1"/>
    <xf numFmtId="3" fontId="1" fillId="0" borderId="1" xfId="0" applyNumberFormat="1" applyFont="1" applyBorder="1" applyAlignment="1">
      <alignment horizontal="right"/>
    </xf>
    <xf numFmtId="0" fontId="1" fillId="0" borderId="1" xfId="0" applyFont="1" applyBorder="1" applyAlignment="1">
      <alignment horizontal="right"/>
    </xf>
    <xf numFmtId="4" fontId="1" fillId="0" borderId="1" xfId="0" applyNumberFormat="1" applyFont="1" applyBorder="1" applyAlignment="1">
      <alignment horizontal="right"/>
    </xf>
    <xf numFmtId="0" fontId="0" fillId="0" borderId="0" xfId="0" applyAlignment="1"/>
    <xf numFmtId="3" fontId="0" fillId="0" borderId="0" xfId="0" applyNumberFormat="1" applyAlignment="1">
      <alignment horizontal="right"/>
    </xf>
    <xf numFmtId="0" fontId="0" fillId="0" borderId="0" xfId="0" applyAlignment="1">
      <alignment horizontal="right"/>
    </xf>
    <xf numFmtId="4" fontId="0" fillId="0" borderId="0" xfId="0" applyNumberFormat="1" applyAlignment="1">
      <alignment horizontal="right"/>
    </xf>
    <xf numFmtId="0" fontId="1" fillId="0" borderId="1" xfId="0" applyFont="1" applyBorder="1" applyAlignment="1">
      <alignment horizontal="center"/>
    </xf>
    <xf numFmtId="4" fontId="1" fillId="0" borderId="1" xfId="0" applyNumberFormat="1" applyFont="1" applyBorder="1" applyAlignment="1">
      <alignment horizontal="center"/>
    </xf>
    <xf numFmtId="3" fontId="1" fillId="0" borderId="1" xfId="0" applyNumberFormat="1" applyFont="1" applyBorder="1" applyAlignment="1">
      <alignment horizontal="center"/>
    </xf>
    <xf numFmtId="0" fontId="0" fillId="0" borderId="0" xfId="0" applyAlignment="1">
      <alignment horizontal="left"/>
    </xf>
    <xf numFmtId="4" fontId="1" fillId="0" borderId="1" xfId="0" applyNumberFormat="1" applyFont="1" applyBorder="1" applyAlignment="1">
      <alignment horizontal="left"/>
    </xf>
    <xf numFmtId="3" fontId="1" fillId="0" borderId="1" xfId="0" applyNumberFormat="1" applyFont="1" applyBorder="1" applyAlignment="1">
      <alignment horizontal="left"/>
    </xf>
    <xf numFmtId="0" fontId="0" fillId="0" borderId="0" xfId="0" applyAlignment="1"/>
    <xf numFmtId="0" fontId="0" fillId="0" borderId="0" xfId="0" applyAlignment="1">
      <alignment horizontal="center"/>
    </xf>
    <xf numFmtId="3" fontId="0" fillId="0" borderId="0" xfId="0" applyNumberFormat="1" applyAlignment="1">
      <alignment horizontal="center"/>
    </xf>
    <xf numFmtId="4" fontId="0" fillId="0" borderId="0" xfId="0" applyNumberFormat="1" applyAlignment="1">
      <alignment horizontal="center"/>
    </xf>
    <xf numFmtId="11" fontId="0" fillId="0" borderId="0" xfId="0" applyNumberFormat="1"/>
    <xf numFmtId="11" fontId="0" fillId="0" borderId="0" xfId="0" applyNumberFormat="1" applyAlignme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24"/>
  <sheetViews>
    <sheetView workbookViewId="0">
      <selection sqref="A1:F24"/>
    </sheetView>
  </sheetViews>
  <sheetFormatPr defaultRowHeight="14.4" x14ac:dyDescent="0.3"/>
  <cols>
    <col min="1" max="1" width="21.33203125" style="5" bestFit="1" customWidth="1"/>
    <col min="2" max="2" width="13.5546875" style="5" bestFit="1" customWidth="1"/>
  </cols>
  <sheetData>
    <row r="1" spans="1:6" ht="18.75" customHeight="1" x14ac:dyDescent="0.3">
      <c r="A1" s="1" t="s">
        <v>0</v>
      </c>
      <c r="B1" s="1" t="s">
        <v>103</v>
      </c>
      <c r="C1" t="s">
        <v>100</v>
      </c>
      <c r="D1" t="s">
        <v>104</v>
      </c>
      <c r="E1" t="s">
        <v>105</v>
      </c>
      <c r="F1" t="s">
        <v>106</v>
      </c>
    </row>
    <row r="2" spans="1:6" ht="18.75" customHeight="1" x14ac:dyDescent="0.3">
      <c r="A2" s="1" t="s">
        <v>85</v>
      </c>
      <c r="B2" s="1">
        <v>0</v>
      </c>
      <c r="C2" t="s">
        <v>107</v>
      </c>
      <c r="D2" t="s">
        <v>85</v>
      </c>
      <c r="E2" t="s">
        <v>31</v>
      </c>
      <c r="F2">
        <v>0</v>
      </c>
    </row>
    <row r="3" spans="1:6" ht="18.75" customHeight="1" x14ac:dyDescent="0.3">
      <c r="A3" s="1" t="s">
        <v>108</v>
      </c>
      <c r="B3" s="1">
        <v>0</v>
      </c>
      <c r="C3" t="s">
        <v>109</v>
      </c>
      <c r="D3" t="s">
        <v>108</v>
      </c>
      <c r="E3" t="s">
        <v>31</v>
      </c>
      <c r="F3">
        <v>0</v>
      </c>
    </row>
    <row r="4" spans="1:6" ht="18.75" customHeight="1" x14ac:dyDescent="0.3">
      <c r="A4" s="1" t="s">
        <v>110</v>
      </c>
      <c r="B4" s="1">
        <v>0.12</v>
      </c>
      <c r="C4" t="s">
        <v>111</v>
      </c>
      <c r="D4" t="s">
        <v>110</v>
      </c>
      <c r="E4" t="s">
        <v>31</v>
      </c>
      <c r="F4">
        <v>0</v>
      </c>
    </row>
    <row r="5" spans="1:6" ht="18.75" customHeight="1" x14ac:dyDescent="0.3">
      <c r="A5" s="1" t="s">
        <v>112</v>
      </c>
      <c r="B5" s="1">
        <v>0</v>
      </c>
      <c r="C5" t="s">
        <v>113</v>
      </c>
      <c r="D5" t="s">
        <v>112</v>
      </c>
      <c r="E5" t="s">
        <v>31</v>
      </c>
      <c r="F5">
        <v>0</v>
      </c>
    </row>
    <row r="6" spans="1:6" ht="18.75" customHeight="1" x14ac:dyDescent="0.3">
      <c r="A6" s="1" t="s">
        <v>114</v>
      </c>
      <c r="B6" s="1">
        <v>0.19800000000000001</v>
      </c>
      <c r="C6" t="s">
        <v>115</v>
      </c>
      <c r="D6" t="s">
        <v>116</v>
      </c>
      <c r="E6" t="s">
        <v>31</v>
      </c>
      <c r="F6">
        <v>0</v>
      </c>
    </row>
    <row r="7" spans="1:6" ht="18.75" customHeight="1" x14ac:dyDescent="0.3">
      <c r="A7" s="1" t="s">
        <v>117</v>
      </c>
      <c r="B7" s="1">
        <v>0.33610000000000001</v>
      </c>
      <c r="C7" t="s">
        <v>118</v>
      </c>
      <c r="D7" t="s">
        <v>117</v>
      </c>
      <c r="E7" t="s">
        <v>31</v>
      </c>
      <c r="F7">
        <v>0</v>
      </c>
    </row>
    <row r="8" spans="1:6" ht="18.75" customHeight="1" x14ac:dyDescent="0.3">
      <c r="A8" s="1" t="s">
        <v>119</v>
      </c>
      <c r="B8" s="1">
        <v>0.2571</v>
      </c>
      <c r="C8" t="s">
        <v>120</v>
      </c>
      <c r="D8" t="s">
        <v>119</v>
      </c>
      <c r="E8" t="s">
        <v>31</v>
      </c>
      <c r="F8">
        <v>0</v>
      </c>
    </row>
    <row r="9" spans="1:6" ht="18.75" customHeight="1" x14ac:dyDescent="0.3">
      <c r="A9" s="1" t="s">
        <v>121</v>
      </c>
      <c r="B9" s="1">
        <v>0</v>
      </c>
      <c r="C9" t="s">
        <v>122</v>
      </c>
      <c r="D9" t="s">
        <v>123</v>
      </c>
      <c r="E9" t="s">
        <v>31</v>
      </c>
      <c r="F9">
        <v>0</v>
      </c>
    </row>
    <row r="10" spans="1:6" ht="18.75" customHeight="1" x14ac:dyDescent="0.3">
      <c r="A10" s="1" t="s">
        <v>124</v>
      </c>
      <c r="B10" s="1">
        <v>0</v>
      </c>
      <c r="C10" t="s">
        <v>125</v>
      </c>
      <c r="D10" t="s">
        <v>126</v>
      </c>
      <c r="E10" t="s">
        <v>31</v>
      </c>
      <c r="F10">
        <v>0</v>
      </c>
    </row>
    <row r="11" spans="1:6" ht="18.75" customHeight="1" x14ac:dyDescent="0.3">
      <c r="A11" s="1" t="s">
        <v>127</v>
      </c>
      <c r="B11" s="1">
        <v>0</v>
      </c>
      <c r="C11" t="s">
        <v>128</v>
      </c>
      <c r="D11" t="s">
        <v>127</v>
      </c>
      <c r="E11" t="s">
        <v>31</v>
      </c>
      <c r="F11">
        <v>0</v>
      </c>
    </row>
    <row r="12" spans="1:6" ht="18.75" customHeight="1" x14ac:dyDescent="0.3">
      <c r="A12" s="1" t="s">
        <v>101</v>
      </c>
      <c r="B12" s="1">
        <v>0</v>
      </c>
      <c r="C12" t="s">
        <v>129</v>
      </c>
      <c r="D12" t="s">
        <v>130</v>
      </c>
      <c r="E12" t="s">
        <v>31</v>
      </c>
      <c r="F12">
        <v>0</v>
      </c>
    </row>
    <row r="13" spans="1:6" ht="18.75" customHeight="1" x14ac:dyDescent="0.3">
      <c r="A13" s="1" t="s">
        <v>131</v>
      </c>
      <c r="B13" s="1">
        <v>0</v>
      </c>
      <c r="C13" t="s">
        <v>132</v>
      </c>
      <c r="D13" t="s">
        <v>133</v>
      </c>
      <c r="E13" t="s">
        <v>31</v>
      </c>
      <c r="F13">
        <v>0</v>
      </c>
    </row>
    <row r="14" spans="1:6" ht="18.75" customHeight="1" x14ac:dyDescent="0.3">
      <c r="A14" s="1" t="s">
        <v>134</v>
      </c>
      <c r="B14" s="1">
        <v>0</v>
      </c>
      <c r="C14" t="s">
        <v>135</v>
      </c>
      <c r="D14" t="s">
        <v>136</v>
      </c>
      <c r="E14" t="s">
        <v>31</v>
      </c>
      <c r="F14">
        <v>0</v>
      </c>
    </row>
    <row r="15" spans="1:6" ht="18.75" customHeight="1" x14ac:dyDescent="0.3">
      <c r="A15" s="1" t="s">
        <v>80</v>
      </c>
      <c r="B15" s="1">
        <v>0</v>
      </c>
      <c r="C15" t="s">
        <v>137</v>
      </c>
      <c r="D15" t="s">
        <v>138</v>
      </c>
      <c r="E15" t="s">
        <v>31</v>
      </c>
      <c r="F15">
        <v>0</v>
      </c>
    </row>
    <row r="16" spans="1:6" ht="18.75" customHeight="1" x14ac:dyDescent="0.3">
      <c r="A16" s="1" t="s">
        <v>139</v>
      </c>
      <c r="B16" s="1">
        <v>0</v>
      </c>
      <c r="C16" t="s">
        <v>140</v>
      </c>
      <c r="D16" t="s">
        <v>141</v>
      </c>
      <c r="E16" t="s">
        <v>31</v>
      </c>
      <c r="F16">
        <v>0</v>
      </c>
    </row>
    <row r="17" spans="1:6" ht="18.75" customHeight="1" x14ac:dyDescent="0.3">
      <c r="A17" s="1" t="s">
        <v>142</v>
      </c>
      <c r="B17" s="1">
        <v>0</v>
      </c>
      <c r="C17" t="s">
        <v>143</v>
      </c>
      <c r="D17" t="s">
        <v>144</v>
      </c>
      <c r="E17" t="s">
        <v>31</v>
      </c>
      <c r="F17">
        <v>0</v>
      </c>
    </row>
    <row r="18" spans="1:6" x14ac:dyDescent="0.3">
      <c r="A18" s="5" t="s">
        <v>102</v>
      </c>
      <c r="B18" s="5">
        <v>0</v>
      </c>
      <c r="C18" t="s">
        <v>145</v>
      </c>
      <c r="D18" t="s">
        <v>146</v>
      </c>
      <c r="E18" t="s">
        <v>31</v>
      </c>
      <c r="F18">
        <v>0</v>
      </c>
    </row>
    <row r="19" spans="1:6" x14ac:dyDescent="0.3">
      <c r="A19" s="5" t="s">
        <v>29</v>
      </c>
      <c r="B19" s="5">
        <v>0</v>
      </c>
      <c r="C19" t="s">
        <v>147</v>
      </c>
      <c r="D19" t="s">
        <v>148</v>
      </c>
      <c r="E19" t="s">
        <v>31</v>
      </c>
      <c r="F19">
        <v>0</v>
      </c>
    </row>
    <row r="20" spans="1:6" x14ac:dyDescent="0.3">
      <c r="A20" s="5" t="s">
        <v>149</v>
      </c>
      <c r="B20" s="5">
        <v>0</v>
      </c>
      <c r="C20" t="s">
        <v>150</v>
      </c>
      <c r="D20" t="s">
        <v>149</v>
      </c>
      <c r="E20" t="s">
        <v>31</v>
      </c>
      <c r="F20">
        <v>0</v>
      </c>
    </row>
    <row r="21" spans="1:6" x14ac:dyDescent="0.3">
      <c r="A21" s="5" t="s">
        <v>151</v>
      </c>
      <c r="B21" s="5">
        <v>0</v>
      </c>
      <c r="C21" t="s">
        <v>152</v>
      </c>
      <c r="D21" t="s">
        <v>151</v>
      </c>
      <c r="E21" t="s">
        <v>31</v>
      </c>
      <c r="F21">
        <v>0</v>
      </c>
    </row>
    <row r="22" spans="1:6" x14ac:dyDescent="0.3">
      <c r="B22" s="5">
        <v>0</v>
      </c>
      <c r="E22" t="s">
        <v>31</v>
      </c>
      <c r="F22">
        <v>0</v>
      </c>
    </row>
    <row r="23" spans="1:6" x14ac:dyDescent="0.3">
      <c r="A23" s="5" t="s">
        <v>73</v>
      </c>
      <c r="B23" s="5">
        <v>0</v>
      </c>
      <c r="C23" t="s">
        <v>153</v>
      </c>
      <c r="D23" t="s">
        <v>73</v>
      </c>
      <c r="E23" t="s">
        <v>31</v>
      </c>
      <c r="F23">
        <v>0</v>
      </c>
    </row>
    <row r="24" spans="1:6" x14ac:dyDescent="0.3">
      <c r="A24" s="5" t="s">
        <v>74</v>
      </c>
      <c r="B24" s="5">
        <v>0</v>
      </c>
      <c r="C24" t="s">
        <v>154</v>
      </c>
      <c r="D24" t="s">
        <v>74</v>
      </c>
      <c r="E24" t="s">
        <v>31</v>
      </c>
      <c r="F24">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Q61"/>
  <sheetViews>
    <sheetView workbookViewId="0">
      <selection sqref="A1:Q61"/>
    </sheetView>
  </sheetViews>
  <sheetFormatPr defaultRowHeight="14.4" x14ac:dyDescent="0.3"/>
  <cols>
    <col min="1" max="1" width="8.88671875" style="16" bestFit="1" customWidth="1"/>
    <col min="2" max="2" width="8.88671875" style="17" bestFit="1" customWidth="1"/>
    <col min="3" max="3" width="8.88671875" style="5" bestFit="1" customWidth="1"/>
    <col min="4" max="5" width="8.88671875" style="18" bestFit="1" customWidth="1"/>
    <col min="6" max="6" width="8.88671875" style="16" bestFit="1" customWidth="1"/>
    <col min="7" max="7" width="8.88671875" style="5" bestFit="1" customWidth="1"/>
    <col min="8" max="8" width="13.5546875" style="16" bestFit="1" customWidth="1"/>
    <col min="9" max="10" width="13.5546875" style="17" bestFit="1" customWidth="1"/>
    <col min="11" max="12" width="13.5546875" style="16" bestFit="1" customWidth="1"/>
    <col min="13" max="14" width="13.5546875" style="5" bestFit="1" customWidth="1"/>
    <col min="15" max="15" width="13.5546875" style="6" bestFit="1" customWidth="1"/>
    <col min="16" max="16" width="13.5546875" style="16" bestFit="1" customWidth="1"/>
    <col min="17" max="17" width="13.5546875" style="6" bestFit="1" customWidth="1"/>
  </cols>
  <sheetData>
    <row r="1" spans="1:17" ht="18.75" customHeight="1" x14ac:dyDescent="0.3">
      <c r="A1" s="9" t="s">
        <v>0</v>
      </c>
      <c r="B1" s="11" t="s">
        <v>86</v>
      </c>
      <c r="C1" s="9" t="s">
        <v>2</v>
      </c>
      <c r="D1" s="10" t="s">
        <v>82</v>
      </c>
      <c r="E1" s="10" t="s">
        <v>87</v>
      </c>
      <c r="F1" s="9" t="s">
        <v>3</v>
      </c>
      <c r="G1" s="9" t="s">
        <v>88</v>
      </c>
      <c r="H1" s="9" t="s">
        <v>89</v>
      </c>
      <c r="I1" s="11" t="s">
        <v>90</v>
      </c>
      <c r="J1" s="11" t="s">
        <v>91</v>
      </c>
      <c r="K1" s="9" t="s">
        <v>92</v>
      </c>
      <c r="L1" s="9" t="s">
        <v>75</v>
      </c>
      <c r="M1" s="9" t="s">
        <v>93</v>
      </c>
      <c r="N1" s="9" t="s">
        <v>94</v>
      </c>
      <c r="O1" s="11" t="s">
        <v>96</v>
      </c>
      <c r="P1" s="9" t="s">
        <v>95</v>
      </c>
      <c r="Q1" s="11" t="s">
        <v>97</v>
      </c>
    </row>
    <row r="2" spans="1:17" ht="18.75" customHeight="1" x14ac:dyDescent="0.3">
      <c r="A2" s="9" t="s">
        <v>72</v>
      </c>
      <c r="B2" s="11">
        <v>380</v>
      </c>
      <c r="C2" s="1"/>
      <c r="D2" s="10">
        <v>12.358133462518801</v>
      </c>
      <c r="E2" s="10">
        <v>42.049257820418397</v>
      </c>
      <c r="F2" s="9" t="s">
        <v>85</v>
      </c>
      <c r="G2" s="1"/>
      <c r="H2" s="9"/>
      <c r="I2" s="11">
        <v>1</v>
      </c>
      <c r="J2" s="11">
        <v>0</v>
      </c>
      <c r="K2" s="9" t="s">
        <v>31</v>
      </c>
      <c r="L2" s="9" t="s">
        <v>98</v>
      </c>
      <c r="M2" s="9" t="s">
        <v>155</v>
      </c>
      <c r="N2" s="9">
        <v>0</v>
      </c>
      <c r="O2" s="11" t="s">
        <v>99</v>
      </c>
      <c r="P2" s="9">
        <v>1</v>
      </c>
      <c r="Q2" s="11">
        <v>1</v>
      </c>
    </row>
    <row r="3" spans="1:17" ht="18.75" customHeight="1" x14ac:dyDescent="0.3">
      <c r="A3" s="9" t="s">
        <v>156</v>
      </c>
      <c r="B3" s="11">
        <v>380</v>
      </c>
      <c r="C3" s="1"/>
      <c r="D3" s="10">
        <v>16.0495037636781</v>
      </c>
      <c r="E3" s="10">
        <v>38.634600774642301</v>
      </c>
      <c r="F3" s="9" t="s">
        <v>85</v>
      </c>
      <c r="G3" s="1"/>
      <c r="H3" s="9"/>
      <c r="I3" s="11">
        <v>1</v>
      </c>
      <c r="J3" s="11">
        <v>0</v>
      </c>
      <c r="K3" s="9" t="s">
        <v>31</v>
      </c>
      <c r="L3" s="9" t="s">
        <v>79</v>
      </c>
      <c r="M3" s="1"/>
      <c r="N3" s="1">
        <v>0</v>
      </c>
      <c r="O3" s="2" t="s">
        <v>99</v>
      </c>
      <c r="P3" s="9">
        <v>1</v>
      </c>
      <c r="Q3" s="2">
        <v>1</v>
      </c>
    </row>
    <row r="4" spans="1:17" x14ac:dyDescent="0.3">
      <c r="A4" s="16" t="s">
        <v>157</v>
      </c>
      <c r="B4" s="17">
        <v>380</v>
      </c>
      <c r="D4" s="18">
        <v>10.911202383700401</v>
      </c>
      <c r="E4" s="18">
        <v>43.593233700313</v>
      </c>
      <c r="F4" s="16" t="s">
        <v>85</v>
      </c>
      <c r="I4" s="17">
        <v>1</v>
      </c>
      <c r="J4" s="17">
        <v>0</v>
      </c>
      <c r="K4" s="16" t="s">
        <v>31</v>
      </c>
      <c r="L4" s="16" t="s">
        <v>79</v>
      </c>
      <c r="N4" s="5">
        <v>0</v>
      </c>
      <c r="O4" s="6" t="s">
        <v>99</v>
      </c>
      <c r="P4" s="16">
        <v>1</v>
      </c>
      <c r="Q4" s="6">
        <v>1</v>
      </c>
    </row>
    <row r="5" spans="1:17" x14ac:dyDescent="0.3">
      <c r="A5" s="16" t="s">
        <v>158</v>
      </c>
      <c r="B5" s="17">
        <v>380</v>
      </c>
      <c r="D5" s="18">
        <v>16.302723755072901</v>
      </c>
      <c r="E5" s="18">
        <v>40.6980346052096</v>
      </c>
      <c r="F5" s="16" t="s">
        <v>85</v>
      </c>
      <c r="I5" s="17">
        <v>1</v>
      </c>
      <c r="J5" s="17">
        <v>0</v>
      </c>
      <c r="K5" s="16" t="s">
        <v>31</v>
      </c>
      <c r="L5" s="16" t="s">
        <v>79</v>
      </c>
      <c r="N5" s="5">
        <v>0</v>
      </c>
      <c r="O5" s="6" t="s">
        <v>99</v>
      </c>
      <c r="P5" s="16">
        <v>1</v>
      </c>
      <c r="Q5" s="6">
        <v>1</v>
      </c>
    </row>
    <row r="6" spans="1:17" x14ac:dyDescent="0.3">
      <c r="A6" s="16" t="s">
        <v>159</v>
      </c>
      <c r="B6" s="17">
        <v>380</v>
      </c>
      <c r="D6" s="18">
        <v>12.4357670505066</v>
      </c>
      <c r="E6" s="18">
        <v>44.2917349337649</v>
      </c>
      <c r="F6" s="16" t="s">
        <v>85</v>
      </c>
      <c r="I6" s="17">
        <v>1</v>
      </c>
      <c r="J6" s="17">
        <v>0</v>
      </c>
      <c r="K6" s="16" t="s">
        <v>31</v>
      </c>
      <c r="L6" s="16" t="s">
        <v>79</v>
      </c>
      <c r="N6" s="5">
        <v>0</v>
      </c>
      <c r="O6" s="6" t="s">
        <v>99</v>
      </c>
      <c r="P6" s="16">
        <v>1</v>
      </c>
      <c r="Q6" s="6">
        <v>1</v>
      </c>
    </row>
    <row r="7" spans="1:17" x14ac:dyDescent="0.3">
      <c r="A7" s="16" t="s">
        <v>160</v>
      </c>
      <c r="B7" s="17">
        <v>380</v>
      </c>
      <c r="D7" s="18">
        <v>12.852524971028799</v>
      </c>
      <c r="E7" s="18">
        <v>45.971298027834202</v>
      </c>
      <c r="F7" s="16" t="s">
        <v>85</v>
      </c>
      <c r="I7" s="17">
        <v>1</v>
      </c>
      <c r="J7" s="17">
        <v>0</v>
      </c>
      <c r="K7" s="16" t="s">
        <v>31</v>
      </c>
      <c r="L7" s="16" t="s">
        <v>79</v>
      </c>
      <c r="N7" s="5">
        <v>0</v>
      </c>
      <c r="O7" s="6" t="s">
        <v>99</v>
      </c>
      <c r="P7" s="16">
        <v>1</v>
      </c>
      <c r="Q7" s="6">
        <v>1</v>
      </c>
    </row>
    <row r="8" spans="1:17" x14ac:dyDescent="0.3">
      <c r="A8" s="16" t="s">
        <v>161</v>
      </c>
      <c r="B8" s="17">
        <v>380</v>
      </c>
      <c r="D8" s="18">
        <v>14.046328123331</v>
      </c>
      <c r="E8" s="18">
        <v>41.815494588973799</v>
      </c>
      <c r="F8" s="16" t="s">
        <v>85</v>
      </c>
      <c r="I8" s="17">
        <v>1</v>
      </c>
      <c r="J8" s="17">
        <v>0</v>
      </c>
      <c r="K8" s="16" t="s">
        <v>31</v>
      </c>
      <c r="L8" s="16" t="s">
        <v>79</v>
      </c>
      <c r="N8" s="5">
        <v>0</v>
      </c>
      <c r="O8" s="6" t="s">
        <v>99</v>
      </c>
      <c r="P8" s="16">
        <v>1</v>
      </c>
      <c r="Q8" s="6">
        <v>1</v>
      </c>
    </row>
    <row r="9" spans="1:17" x14ac:dyDescent="0.3">
      <c r="A9" s="16" t="s">
        <v>162</v>
      </c>
      <c r="B9" s="17">
        <v>380</v>
      </c>
      <c r="D9" s="18">
        <v>11.1626444834186</v>
      </c>
      <c r="E9" s="18">
        <v>44.761276084907301</v>
      </c>
      <c r="F9" s="16" t="s">
        <v>85</v>
      </c>
      <c r="I9" s="17">
        <v>1</v>
      </c>
      <c r="J9" s="17">
        <v>0</v>
      </c>
      <c r="K9" s="16" t="s">
        <v>31</v>
      </c>
      <c r="L9" s="16" t="s">
        <v>79</v>
      </c>
      <c r="N9" s="5">
        <v>0</v>
      </c>
      <c r="O9" s="6" t="s">
        <v>99</v>
      </c>
      <c r="P9" s="16">
        <v>1</v>
      </c>
      <c r="Q9" s="6">
        <v>1</v>
      </c>
    </row>
    <row r="10" spans="1:17" x14ac:dyDescent="0.3">
      <c r="A10" s="16" t="s">
        <v>163</v>
      </c>
      <c r="B10" s="17">
        <v>380</v>
      </c>
      <c r="D10" s="18">
        <v>10.5448952614561</v>
      </c>
      <c r="E10" s="18">
        <v>45.8670375191587</v>
      </c>
      <c r="F10" s="16" t="s">
        <v>85</v>
      </c>
      <c r="I10" s="17">
        <v>1</v>
      </c>
      <c r="J10" s="17">
        <v>0</v>
      </c>
      <c r="K10" s="16" t="s">
        <v>31</v>
      </c>
      <c r="L10" s="16" t="s">
        <v>79</v>
      </c>
      <c r="N10" s="5">
        <v>0</v>
      </c>
      <c r="O10" s="6" t="s">
        <v>99</v>
      </c>
      <c r="P10" s="16">
        <v>1</v>
      </c>
      <c r="Q10" s="6">
        <v>1</v>
      </c>
    </row>
    <row r="11" spans="1:17" x14ac:dyDescent="0.3">
      <c r="A11" s="16" t="s">
        <v>164</v>
      </c>
      <c r="B11" s="17">
        <v>380</v>
      </c>
      <c r="D11" s="18">
        <v>17.7514481171055</v>
      </c>
      <c r="E11" s="18">
        <v>40.4718807048516</v>
      </c>
      <c r="F11" s="16" t="s">
        <v>85</v>
      </c>
      <c r="I11" s="17">
        <v>1</v>
      </c>
      <c r="J11" s="17">
        <v>0</v>
      </c>
      <c r="K11" s="16" t="s">
        <v>31</v>
      </c>
      <c r="L11" s="16" t="s">
        <v>79</v>
      </c>
      <c r="N11" s="5">
        <v>0</v>
      </c>
      <c r="O11" s="6" t="s">
        <v>99</v>
      </c>
      <c r="P11" s="16">
        <v>1</v>
      </c>
      <c r="Q11" s="6">
        <v>1</v>
      </c>
    </row>
    <row r="12" spans="1:17" x14ac:dyDescent="0.3">
      <c r="A12" s="16" t="s">
        <v>165</v>
      </c>
      <c r="B12" s="17">
        <v>380</v>
      </c>
      <c r="D12" s="18">
        <v>8.6526437397642901</v>
      </c>
      <c r="E12" s="18">
        <v>44.455365089512298</v>
      </c>
      <c r="F12" s="16" t="s">
        <v>85</v>
      </c>
      <c r="I12" s="17">
        <v>1</v>
      </c>
      <c r="J12" s="17">
        <v>0</v>
      </c>
      <c r="K12" s="16" t="s">
        <v>31</v>
      </c>
      <c r="L12" s="16" t="s">
        <v>79</v>
      </c>
      <c r="N12" s="5">
        <v>0</v>
      </c>
      <c r="O12" s="6" t="s">
        <v>99</v>
      </c>
      <c r="P12" s="16">
        <v>1</v>
      </c>
      <c r="Q12" s="6">
        <v>1</v>
      </c>
    </row>
    <row r="13" spans="1:17" x14ac:dyDescent="0.3">
      <c r="A13" s="16" t="s">
        <v>166</v>
      </c>
      <c r="B13" s="17">
        <v>380</v>
      </c>
      <c r="D13" s="18">
        <v>9.1546846779353501</v>
      </c>
      <c r="E13" s="18">
        <v>45.482158640498199</v>
      </c>
      <c r="F13" s="16" t="s">
        <v>85</v>
      </c>
      <c r="I13" s="17">
        <v>1</v>
      </c>
      <c r="J13" s="17">
        <v>0</v>
      </c>
      <c r="K13" s="16" t="s">
        <v>31</v>
      </c>
      <c r="L13" s="16" t="s">
        <v>79</v>
      </c>
      <c r="N13" s="5">
        <v>0</v>
      </c>
      <c r="O13" s="6" t="s">
        <v>99</v>
      </c>
      <c r="P13" s="16">
        <v>1</v>
      </c>
      <c r="Q13" s="6">
        <v>1</v>
      </c>
    </row>
    <row r="14" spans="1:17" x14ac:dyDescent="0.3">
      <c r="A14" s="16" t="s">
        <v>167</v>
      </c>
      <c r="B14" s="17">
        <v>380</v>
      </c>
      <c r="D14" s="18">
        <v>11.7214443501821</v>
      </c>
      <c r="E14" s="18">
        <v>45.7840691550497</v>
      </c>
      <c r="F14" s="16" t="s">
        <v>85</v>
      </c>
      <c r="I14" s="17">
        <v>1</v>
      </c>
      <c r="J14" s="17">
        <v>0</v>
      </c>
      <c r="K14" s="16" t="s">
        <v>31</v>
      </c>
      <c r="L14" s="16" t="s">
        <v>79</v>
      </c>
      <c r="N14" s="5">
        <v>0</v>
      </c>
      <c r="O14" s="6" t="s">
        <v>99</v>
      </c>
      <c r="P14" s="16">
        <v>1</v>
      </c>
      <c r="Q14" s="6">
        <v>1</v>
      </c>
    </row>
    <row r="15" spans="1:17" x14ac:dyDescent="0.3">
      <c r="A15" s="16" t="s">
        <v>168</v>
      </c>
      <c r="B15" s="17">
        <v>380</v>
      </c>
      <c r="D15" s="18">
        <v>13.3220202351688</v>
      </c>
      <c r="E15" s="18">
        <v>37.762771627998198</v>
      </c>
      <c r="F15" s="16" t="s">
        <v>85</v>
      </c>
      <c r="I15" s="17">
        <v>1</v>
      </c>
      <c r="J15" s="17">
        <v>0</v>
      </c>
      <c r="K15" s="16" t="s">
        <v>31</v>
      </c>
      <c r="L15" s="16" t="s">
        <v>79</v>
      </c>
      <c r="N15" s="5">
        <v>0</v>
      </c>
      <c r="O15" s="6" t="s">
        <v>99</v>
      </c>
      <c r="P15" s="16">
        <v>1</v>
      </c>
      <c r="Q15" s="6">
        <v>1</v>
      </c>
    </row>
    <row r="16" spans="1:17" x14ac:dyDescent="0.3">
      <c r="A16" s="16" t="s">
        <v>169</v>
      </c>
      <c r="B16" s="17">
        <v>380</v>
      </c>
      <c r="D16" s="18">
        <v>14.5641774069598</v>
      </c>
      <c r="E16" s="18">
        <v>40.983476719970099</v>
      </c>
      <c r="F16" s="16" t="s">
        <v>85</v>
      </c>
      <c r="I16" s="17">
        <v>1</v>
      </c>
      <c r="J16" s="17">
        <v>0</v>
      </c>
      <c r="K16" s="16" t="s">
        <v>31</v>
      </c>
      <c r="L16" s="16" t="s">
        <v>79</v>
      </c>
      <c r="N16" s="5">
        <v>0</v>
      </c>
      <c r="O16" s="6" t="s">
        <v>99</v>
      </c>
      <c r="P16" s="16">
        <v>1</v>
      </c>
      <c r="Q16" s="6">
        <v>1</v>
      </c>
    </row>
    <row r="17" spans="1:17" x14ac:dyDescent="0.3">
      <c r="A17" s="16" t="s">
        <v>170</v>
      </c>
      <c r="B17" s="17">
        <v>380</v>
      </c>
      <c r="D17" s="18">
        <v>9.8842555390185591</v>
      </c>
      <c r="E17" s="18">
        <v>44.684202446587697</v>
      </c>
      <c r="F17" s="16" t="s">
        <v>85</v>
      </c>
      <c r="I17" s="17">
        <v>1</v>
      </c>
      <c r="J17" s="17">
        <v>0</v>
      </c>
      <c r="K17" s="16" t="s">
        <v>31</v>
      </c>
      <c r="L17" s="16" t="s">
        <v>79</v>
      </c>
      <c r="N17" s="5">
        <v>0</v>
      </c>
      <c r="O17" s="6" t="s">
        <v>99</v>
      </c>
      <c r="P17" s="16">
        <v>1</v>
      </c>
      <c r="Q17" s="6">
        <v>1</v>
      </c>
    </row>
    <row r="18" spans="1:17" x14ac:dyDescent="0.3">
      <c r="A18" s="16" t="s">
        <v>171</v>
      </c>
      <c r="B18" s="17">
        <v>380</v>
      </c>
      <c r="D18" s="18">
        <v>13.5275829269107</v>
      </c>
      <c r="E18" s="18">
        <v>42.841364851120197</v>
      </c>
      <c r="F18" s="16" t="s">
        <v>85</v>
      </c>
      <c r="I18" s="17">
        <v>1</v>
      </c>
      <c r="J18" s="17">
        <v>0</v>
      </c>
      <c r="K18" s="16" t="s">
        <v>31</v>
      </c>
      <c r="L18" s="16" t="s">
        <v>79</v>
      </c>
      <c r="N18" s="5">
        <v>0</v>
      </c>
      <c r="O18" s="6" t="s">
        <v>99</v>
      </c>
      <c r="P18" s="16">
        <v>1</v>
      </c>
      <c r="Q18" s="6">
        <v>1</v>
      </c>
    </row>
    <row r="19" spans="1:17" x14ac:dyDescent="0.3">
      <c r="A19" s="16" t="s">
        <v>172</v>
      </c>
      <c r="B19" s="17">
        <v>380</v>
      </c>
      <c r="D19" s="18">
        <v>14.888678745862601</v>
      </c>
      <c r="E19" s="18">
        <v>37.341117139363298</v>
      </c>
      <c r="F19" s="16" t="s">
        <v>85</v>
      </c>
      <c r="I19" s="17">
        <v>1</v>
      </c>
      <c r="J19" s="17">
        <v>0</v>
      </c>
      <c r="K19" s="16" t="s">
        <v>31</v>
      </c>
      <c r="L19" s="16" t="s">
        <v>79</v>
      </c>
      <c r="N19" s="5">
        <v>0</v>
      </c>
      <c r="O19" s="6" t="s">
        <v>99</v>
      </c>
      <c r="P19" s="16">
        <v>1</v>
      </c>
      <c r="Q19" s="6">
        <v>1</v>
      </c>
    </row>
    <row r="20" spans="1:17" x14ac:dyDescent="0.3">
      <c r="A20" s="16" t="s">
        <v>173</v>
      </c>
      <c r="B20" s="17">
        <v>380</v>
      </c>
      <c r="D20" s="18">
        <v>7.6639613577470804</v>
      </c>
      <c r="E20" s="18">
        <v>45.146088928697097</v>
      </c>
      <c r="F20" s="16" t="s">
        <v>85</v>
      </c>
      <c r="I20" s="17">
        <v>1</v>
      </c>
      <c r="J20" s="17">
        <v>0</v>
      </c>
      <c r="K20" s="16" t="s">
        <v>31</v>
      </c>
      <c r="L20" s="16" t="s">
        <v>79</v>
      </c>
      <c r="N20" s="5">
        <v>0</v>
      </c>
      <c r="O20" s="6" t="s">
        <v>99</v>
      </c>
      <c r="P20" s="16">
        <v>1</v>
      </c>
      <c r="Q20" s="6">
        <v>1</v>
      </c>
    </row>
    <row r="21" spans="1:17" x14ac:dyDescent="0.3">
      <c r="A21" s="16" t="s">
        <v>174</v>
      </c>
      <c r="B21" s="17">
        <v>380</v>
      </c>
      <c r="D21" s="18">
        <v>8.7398246778425897</v>
      </c>
      <c r="E21" s="18">
        <v>40.032889929774797</v>
      </c>
      <c r="F21" s="16" t="s">
        <v>85</v>
      </c>
      <c r="I21" s="17">
        <v>1</v>
      </c>
      <c r="J21" s="17">
        <v>0</v>
      </c>
      <c r="K21" s="16" t="s">
        <v>31</v>
      </c>
      <c r="L21" s="16" t="s">
        <v>98</v>
      </c>
      <c r="N21" s="5">
        <v>1</v>
      </c>
      <c r="O21" s="6" t="s">
        <v>99</v>
      </c>
      <c r="P21" s="16">
        <v>1</v>
      </c>
      <c r="Q21" s="6">
        <v>1</v>
      </c>
    </row>
    <row r="22" spans="1:17" x14ac:dyDescent="0.3">
      <c r="A22" s="16" t="s">
        <v>175</v>
      </c>
      <c r="B22" s="17">
        <v>1</v>
      </c>
      <c r="D22" s="18">
        <v>12.358133462518801</v>
      </c>
      <c r="E22" s="18">
        <v>42.049257820418397</v>
      </c>
      <c r="F22" s="16" t="s">
        <v>29</v>
      </c>
      <c r="H22" s="16" t="s">
        <v>72</v>
      </c>
      <c r="I22" s="17">
        <v>1</v>
      </c>
      <c r="J22" s="17">
        <v>0</v>
      </c>
      <c r="K22" s="16" t="s">
        <v>31</v>
      </c>
      <c r="L22" s="16" t="s">
        <v>79</v>
      </c>
      <c r="N22" s="5">
        <v>2</v>
      </c>
      <c r="O22" s="6" t="s">
        <v>99</v>
      </c>
    </row>
    <row r="23" spans="1:17" x14ac:dyDescent="0.3">
      <c r="A23" s="16" t="s">
        <v>176</v>
      </c>
      <c r="B23" s="17">
        <v>1</v>
      </c>
      <c r="D23" s="18">
        <v>16.0495037636781</v>
      </c>
      <c r="E23" s="18">
        <v>38.634600774642301</v>
      </c>
      <c r="F23" s="16" t="s">
        <v>29</v>
      </c>
      <c r="H23" s="16" t="s">
        <v>156</v>
      </c>
      <c r="I23" s="17">
        <v>1</v>
      </c>
      <c r="J23" s="17">
        <v>0</v>
      </c>
      <c r="K23" s="16" t="s">
        <v>31</v>
      </c>
      <c r="L23" s="16" t="s">
        <v>79</v>
      </c>
      <c r="N23" s="5">
        <v>3</v>
      </c>
      <c r="O23" s="6" t="s">
        <v>99</v>
      </c>
    </row>
    <row r="24" spans="1:17" x14ac:dyDescent="0.3">
      <c r="A24" s="16" t="s">
        <v>177</v>
      </c>
      <c r="B24" s="17">
        <v>1</v>
      </c>
      <c r="D24" s="18">
        <v>10.911202383700401</v>
      </c>
      <c r="E24" s="18">
        <v>43.593233700313</v>
      </c>
      <c r="F24" s="16" t="s">
        <v>29</v>
      </c>
      <c r="H24" s="16" t="s">
        <v>157</v>
      </c>
      <c r="I24" s="17">
        <v>1</v>
      </c>
      <c r="J24" s="17">
        <v>0</v>
      </c>
      <c r="K24" s="16" t="s">
        <v>31</v>
      </c>
      <c r="L24" s="16" t="s">
        <v>79</v>
      </c>
      <c r="N24" s="5">
        <v>4</v>
      </c>
      <c r="O24" s="6" t="s">
        <v>99</v>
      </c>
    </row>
    <row r="25" spans="1:17" x14ac:dyDescent="0.3">
      <c r="A25" s="16" t="s">
        <v>178</v>
      </c>
      <c r="B25" s="17">
        <v>1</v>
      </c>
      <c r="D25" s="18">
        <v>16.302723755072901</v>
      </c>
      <c r="E25" s="18">
        <v>40.6980346052096</v>
      </c>
      <c r="F25" s="16" t="s">
        <v>29</v>
      </c>
      <c r="H25" s="16" t="s">
        <v>158</v>
      </c>
      <c r="I25" s="17">
        <v>1</v>
      </c>
      <c r="J25" s="17">
        <v>0</v>
      </c>
      <c r="K25" s="16" t="s">
        <v>31</v>
      </c>
      <c r="L25" s="16" t="s">
        <v>79</v>
      </c>
      <c r="N25" s="5">
        <v>5</v>
      </c>
      <c r="O25" s="6" t="s">
        <v>99</v>
      </c>
    </row>
    <row r="26" spans="1:17" x14ac:dyDescent="0.3">
      <c r="A26" s="16" t="s">
        <v>179</v>
      </c>
      <c r="B26" s="17">
        <v>1</v>
      </c>
      <c r="D26" s="18">
        <v>12.4357670505066</v>
      </c>
      <c r="E26" s="18">
        <v>44.2917349337649</v>
      </c>
      <c r="F26" s="16" t="s">
        <v>29</v>
      </c>
      <c r="H26" s="16" t="s">
        <v>159</v>
      </c>
      <c r="I26" s="17">
        <v>1</v>
      </c>
      <c r="J26" s="17">
        <v>0</v>
      </c>
      <c r="K26" s="16" t="s">
        <v>31</v>
      </c>
      <c r="L26" s="16" t="s">
        <v>79</v>
      </c>
      <c r="N26" s="5">
        <v>6</v>
      </c>
      <c r="O26" s="6" t="s">
        <v>99</v>
      </c>
    </row>
    <row r="27" spans="1:17" x14ac:dyDescent="0.3">
      <c r="A27" s="16" t="s">
        <v>180</v>
      </c>
      <c r="B27" s="17">
        <v>1</v>
      </c>
      <c r="D27" s="18">
        <v>12.852524971028799</v>
      </c>
      <c r="E27" s="18">
        <v>45.971298027834202</v>
      </c>
      <c r="F27" s="16" t="s">
        <v>29</v>
      </c>
      <c r="H27" s="16" t="s">
        <v>160</v>
      </c>
      <c r="I27" s="17">
        <v>1</v>
      </c>
      <c r="J27" s="17">
        <v>0</v>
      </c>
      <c r="K27" s="16" t="s">
        <v>31</v>
      </c>
      <c r="L27" s="16" t="s">
        <v>79</v>
      </c>
      <c r="N27" s="5">
        <v>7</v>
      </c>
      <c r="O27" s="6" t="s">
        <v>99</v>
      </c>
    </row>
    <row r="28" spans="1:17" x14ac:dyDescent="0.3">
      <c r="A28" s="16" t="s">
        <v>181</v>
      </c>
      <c r="B28" s="17">
        <v>1</v>
      </c>
      <c r="D28" s="18">
        <v>14.046328123331</v>
      </c>
      <c r="E28" s="18">
        <v>41.815494588973799</v>
      </c>
      <c r="F28" s="16" t="s">
        <v>29</v>
      </c>
      <c r="H28" s="16" t="s">
        <v>161</v>
      </c>
      <c r="I28" s="17">
        <v>1</v>
      </c>
      <c r="J28" s="17">
        <v>0</v>
      </c>
      <c r="K28" s="16" t="s">
        <v>31</v>
      </c>
      <c r="L28" s="16" t="s">
        <v>79</v>
      </c>
      <c r="N28" s="5">
        <v>8</v>
      </c>
      <c r="O28" s="6" t="s">
        <v>99</v>
      </c>
    </row>
    <row r="29" spans="1:17" x14ac:dyDescent="0.3">
      <c r="A29" s="16" t="s">
        <v>182</v>
      </c>
      <c r="B29" s="17">
        <v>1</v>
      </c>
      <c r="D29" s="18">
        <v>11.1626444834186</v>
      </c>
      <c r="E29" s="18">
        <v>44.761276084907301</v>
      </c>
      <c r="F29" s="16" t="s">
        <v>29</v>
      </c>
      <c r="H29" s="16" t="s">
        <v>162</v>
      </c>
      <c r="I29" s="17">
        <v>1</v>
      </c>
      <c r="J29" s="17">
        <v>0</v>
      </c>
      <c r="K29" s="16" t="s">
        <v>31</v>
      </c>
      <c r="L29" s="16" t="s">
        <v>79</v>
      </c>
      <c r="N29" s="5">
        <v>9</v>
      </c>
      <c r="O29" s="6" t="s">
        <v>99</v>
      </c>
    </row>
    <row r="30" spans="1:17" x14ac:dyDescent="0.3">
      <c r="A30" s="16" t="s">
        <v>183</v>
      </c>
      <c r="B30" s="17">
        <v>1</v>
      </c>
      <c r="D30" s="18">
        <v>10.5448952614561</v>
      </c>
      <c r="E30" s="18">
        <v>45.8670375191587</v>
      </c>
      <c r="F30" s="16" t="s">
        <v>29</v>
      </c>
      <c r="H30" s="16" t="s">
        <v>163</v>
      </c>
      <c r="I30" s="17">
        <v>1</v>
      </c>
      <c r="J30" s="17">
        <v>0</v>
      </c>
      <c r="K30" s="16" t="s">
        <v>31</v>
      </c>
      <c r="L30" s="16" t="s">
        <v>79</v>
      </c>
      <c r="N30" s="5">
        <v>10</v>
      </c>
      <c r="O30" s="6" t="s">
        <v>99</v>
      </c>
    </row>
    <row r="31" spans="1:17" x14ac:dyDescent="0.3">
      <c r="A31" s="16" t="s">
        <v>184</v>
      </c>
      <c r="B31" s="17">
        <v>1</v>
      </c>
      <c r="D31" s="18">
        <v>17.7514481171055</v>
      </c>
      <c r="E31" s="18">
        <v>40.4718807048516</v>
      </c>
      <c r="F31" s="16" t="s">
        <v>29</v>
      </c>
      <c r="H31" s="16" t="s">
        <v>164</v>
      </c>
      <c r="I31" s="17">
        <v>1</v>
      </c>
      <c r="J31" s="17">
        <v>0</v>
      </c>
      <c r="K31" s="16" t="s">
        <v>31</v>
      </c>
      <c r="L31" s="16" t="s">
        <v>79</v>
      </c>
      <c r="N31" s="5">
        <v>11</v>
      </c>
      <c r="O31" s="6" t="s">
        <v>99</v>
      </c>
    </row>
    <row r="32" spans="1:17" x14ac:dyDescent="0.3">
      <c r="A32" s="16" t="s">
        <v>185</v>
      </c>
      <c r="B32" s="17">
        <v>1</v>
      </c>
      <c r="D32" s="18">
        <v>8.6526437397642901</v>
      </c>
      <c r="E32" s="18">
        <v>44.455365089512298</v>
      </c>
      <c r="F32" s="16" t="s">
        <v>29</v>
      </c>
      <c r="H32" s="16" t="s">
        <v>165</v>
      </c>
      <c r="I32" s="17">
        <v>1</v>
      </c>
      <c r="J32" s="17">
        <v>0</v>
      </c>
      <c r="K32" s="16" t="s">
        <v>31</v>
      </c>
      <c r="L32" s="16" t="s">
        <v>79</v>
      </c>
      <c r="N32" s="5">
        <v>12</v>
      </c>
      <c r="O32" s="6" t="s">
        <v>99</v>
      </c>
    </row>
    <row r="33" spans="1:15" x14ac:dyDescent="0.3">
      <c r="A33" s="16" t="s">
        <v>186</v>
      </c>
      <c r="B33" s="17">
        <v>1</v>
      </c>
      <c r="D33" s="18">
        <v>9.1546846779353501</v>
      </c>
      <c r="E33" s="18">
        <v>45.482158640498199</v>
      </c>
      <c r="F33" s="16" t="s">
        <v>29</v>
      </c>
      <c r="H33" s="16" t="s">
        <v>166</v>
      </c>
      <c r="I33" s="17">
        <v>1</v>
      </c>
      <c r="J33" s="17">
        <v>0</v>
      </c>
      <c r="K33" s="16" t="s">
        <v>31</v>
      </c>
      <c r="L33" s="16" t="s">
        <v>79</v>
      </c>
      <c r="N33" s="5">
        <v>13</v>
      </c>
      <c r="O33" s="6" t="s">
        <v>99</v>
      </c>
    </row>
    <row r="34" spans="1:15" x14ac:dyDescent="0.3">
      <c r="A34" s="16" t="s">
        <v>187</v>
      </c>
      <c r="B34" s="17">
        <v>1</v>
      </c>
      <c r="D34" s="18">
        <v>11.7214443501821</v>
      </c>
      <c r="E34" s="18">
        <v>45.7840691550497</v>
      </c>
      <c r="F34" s="16" t="s">
        <v>29</v>
      </c>
      <c r="H34" s="16" t="s">
        <v>167</v>
      </c>
      <c r="I34" s="17">
        <v>1</v>
      </c>
      <c r="J34" s="17">
        <v>0</v>
      </c>
      <c r="K34" s="16" t="s">
        <v>31</v>
      </c>
      <c r="L34" s="16" t="s">
        <v>79</v>
      </c>
      <c r="N34" s="5">
        <v>14</v>
      </c>
      <c r="O34" s="6" t="s">
        <v>99</v>
      </c>
    </row>
    <row r="35" spans="1:15" x14ac:dyDescent="0.3">
      <c r="A35" s="16" t="s">
        <v>188</v>
      </c>
      <c r="B35" s="17">
        <v>1</v>
      </c>
      <c r="D35" s="18">
        <v>13.3220202351688</v>
      </c>
      <c r="E35" s="18">
        <v>37.762771627998198</v>
      </c>
      <c r="F35" s="16" t="s">
        <v>29</v>
      </c>
      <c r="H35" s="16" t="s">
        <v>168</v>
      </c>
      <c r="I35" s="17">
        <v>1</v>
      </c>
      <c r="J35" s="17">
        <v>0</v>
      </c>
      <c r="K35" s="16" t="s">
        <v>31</v>
      </c>
      <c r="L35" s="16" t="s">
        <v>79</v>
      </c>
      <c r="N35" s="5">
        <v>15</v>
      </c>
      <c r="O35" s="6" t="s">
        <v>99</v>
      </c>
    </row>
    <row r="36" spans="1:15" x14ac:dyDescent="0.3">
      <c r="A36" s="16" t="s">
        <v>189</v>
      </c>
      <c r="B36" s="17">
        <v>1</v>
      </c>
      <c r="D36" s="18">
        <v>14.5641774069598</v>
      </c>
      <c r="E36" s="18">
        <v>40.983476719970099</v>
      </c>
      <c r="F36" s="16" t="s">
        <v>29</v>
      </c>
      <c r="H36" s="16" t="s">
        <v>169</v>
      </c>
      <c r="I36" s="17">
        <v>1</v>
      </c>
      <c r="J36" s="17">
        <v>0</v>
      </c>
      <c r="K36" s="16" t="s">
        <v>31</v>
      </c>
      <c r="L36" s="16" t="s">
        <v>79</v>
      </c>
      <c r="N36" s="5">
        <v>16</v>
      </c>
      <c r="O36" s="6" t="s">
        <v>99</v>
      </c>
    </row>
    <row r="37" spans="1:15" x14ac:dyDescent="0.3">
      <c r="A37" s="16" t="s">
        <v>190</v>
      </c>
      <c r="B37" s="17">
        <v>1</v>
      </c>
      <c r="D37" s="18">
        <v>9.8842555390185591</v>
      </c>
      <c r="E37" s="18">
        <v>44.684202446587697</v>
      </c>
      <c r="F37" s="16" t="s">
        <v>29</v>
      </c>
      <c r="H37" s="16" t="s">
        <v>170</v>
      </c>
      <c r="I37" s="17">
        <v>1</v>
      </c>
      <c r="J37" s="17">
        <v>0</v>
      </c>
      <c r="K37" s="16" t="s">
        <v>31</v>
      </c>
      <c r="L37" s="16" t="s">
        <v>79</v>
      </c>
      <c r="N37" s="5">
        <v>17</v>
      </c>
      <c r="O37" s="6" t="s">
        <v>99</v>
      </c>
    </row>
    <row r="38" spans="1:15" x14ac:dyDescent="0.3">
      <c r="A38" s="16" t="s">
        <v>191</v>
      </c>
      <c r="B38" s="17">
        <v>1</v>
      </c>
      <c r="D38" s="18">
        <v>13.5275829269107</v>
      </c>
      <c r="E38" s="18">
        <v>42.841364851120197</v>
      </c>
      <c r="F38" s="16" t="s">
        <v>29</v>
      </c>
      <c r="H38" s="16" t="s">
        <v>171</v>
      </c>
      <c r="I38" s="17">
        <v>1</v>
      </c>
      <c r="J38" s="17">
        <v>0</v>
      </c>
      <c r="K38" s="16" t="s">
        <v>31</v>
      </c>
      <c r="L38" s="16" t="s">
        <v>79</v>
      </c>
      <c r="N38" s="5">
        <v>18</v>
      </c>
      <c r="O38" s="6" t="s">
        <v>99</v>
      </c>
    </row>
    <row r="39" spans="1:15" x14ac:dyDescent="0.3">
      <c r="A39" s="16" t="s">
        <v>192</v>
      </c>
      <c r="B39" s="17">
        <v>1</v>
      </c>
      <c r="D39" s="18">
        <v>14.888678745862601</v>
      </c>
      <c r="E39" s="18">
        <v>37.341117139363298</v>
      </c>
      <c r="F39" s="16" t="s">
        <v>29</v>
      </c>
      <c r="H39" s="16" t="s">
        <v>172</v>
      </c>
      <c r="I39" s="17">
        <v>1</v>
      </c>
      <c r="J39" s="17">
        <v>0</v>
      </c>
      <c r="K39" s="16" t="s">
        <v>31</v>
      </c>
      <c r="L39" s="16" t="s">
        <v>79</v>
      </c>
      <c r="N39" s="5">
        <v>19</v>
      </c>
      <c r="O39" s="6" t="s">
        <v>99</v>
      </c>
    </row>
    <row r="40" spans="1:15" x14ac:dyDescent="0.3">
      <c r="A40" s="16" t="s">
        <v>193</v>
      </c>
      <c r="B40" s="17">
        <v>1</v>
      </c>
      <c r="D40" s="18">
        <v>7.6639613577470804</v>
      </c>
      <c r="E40" s="18">
        <v>45.146088928697097</v>
      </c>
      <c r="F40" s="16" t="s">
        <v>29</v>
      </c>
      <c r="H40" s="16" t="s">
        <v>173</v>
      </c>
      <c r="I40" s="17">
        <v>1</v>
      </c>
      <c r="J40" s="17">
        <v>0</v>
      </c>
      <c r="K40" s="16" t="s">
        <v>31</v>
      </c>
      <c r="L40" s="16" t="s">
        <v>79</v>
      </c>
      <c r="N40" s="5">
        <v>20</v>
      </c>
      <c r="O40" s="6" t="s">
        <v>99</v>
      </c>
    </row>
    <row r="41" spans="1:15" x14ac:dyDescent="0.3">
      <c r="A41" s="16" t="s">
        <v>194</v>
      </c>
      <c r="B41" s="17">
        <v>1</v>
      </c>
      <c r="D41" s="18">
        <v>8.7398246778425897</v>
      </c>
      <c r="E41" s="18">
        <v>40.032889929774797</v>
      </c>
      <c r="F41" s="16" t="s">
        <v>29</v>
      </c>
      <c r="H41" s="16" t="s">
        <v>174</v>
      </c>
      <c r="I41" s="17">
        <v>1</v>
      </c>
      <c r="J41" s="17">
        <v>0</v>
      </c>
      <c r="K41" s="16" t="s">
        <v>31</v>
      </c>
      <c r="L41" s="16" t="s">
        <v>79</v>
      </c>
      <c r="N41" s="5">
        <v>21</v>
      </c>
      <c r="O41" s="6" t="s">
        <v>99</v>
      </c>
    </row>
    <row r="42" spans="1:15" x14ac:dyDescent="0.3">
      <c r="A42" s="16" t="s">
        <v>195</v>
      </c>
      <c r="B42" s="17">
        <v>1</v>
      </c>
      <c r="D42" s="18">
        <v>12.358133462518801</v>
      </c>
      <c r="E42" s="18">
        <v>42.049257820418397</v>
      </c>
      <c r="F42" s="16" t="s">
        <v>102</v>
      </c>
      <c r="H42" s="16" t="s">
        <v>72</v>
      </c>
      <c r="I42" s="17">
        <v>1</v>
      </c>
      <c r="J42" s="17">
        <v>0</v>
      </c>
      <c r="K42" s="16" t="s">
        <v>31</v>
      </c>
      <c r="L42" s="16" t="s">
        <v>79</v>
      </c>
      <c r="N42" s="5">
        <v>22</v>
      </c>
      <c r="O42" s="6" t="s">
        <v>99</v>
      </c>
    </row>
    <row r="43" spans="1:15" x14ac:dyDescent="0.3">
      <c r="A43" s="16" t="s">
        <v>196</v>
      </c>
      <c r="B43" s="17">
        <v>1</v>
      </c>
      <c r="D43" s="18">
        <v>16.0495037636781</v>
      </c>
      <c r="E43" s="18">
        <v>38.634600774642301</v>
      </c>
      <c r="F43" s="16" t="s">
        <v>102</v>
      </c>
      <c r="H43" s="16" t="s">
        <v>156</v>
      </c>
      <c r="I43" s="17">
        <v>1</v>
      </c>
      <c r="J43" s="17">
        <v>0</v>
      </c>
      <c r="K43" s="16" t="s">
        <v>31</v>
      </c>
      <c r="L43" s="16" t="s">
        <v>79</v>
      </c>
      <c r="N43" s="5">
        <v>23</v>
      </c>
      <c r="O43" s="6" t="s">
        <v>99</v>
      </c>
    </row>
    <row r="44" spans="1:15" x14ac:dyDescent="0.3">
      <c r="A44" s="16" t="s">
        <v>197</v>
      </c>
      <c r="B44" s="17">
        <v>1</v>
      </c>
      <c r="D44" s="18">
        <v>10.911202383700401</v>
      </c>
      <c r="E44" s="18">
        <v>43.593233700313</v>
      </c>
      <c r="F44" s="16" t="s">
        <v>102</v>
      </c>
      <c r="H44" s="16" t="s">
        <v>157</v>
      </c>
      <c r="I44" s="17">
        <v>1</v>
      </c>
      <c r="J44" s="17">
        <v>0</v>
      </c>
      <c r="K44" s="16" t="s">
        <v>31</v>
      </c>
      <c r="L44" s="16" t="s">
        <v>79</v>
      </c>
      <c r="N44" s="5">
        <v>24</v>
      </c>
      <c r="O44" s="6" t="s">
        <v>99</v>
      </c>
    </row>
    <row r="45" spans="1:15" x14ac:dyDescent="0.3">
      <c r="A45" s="16" t="s">
        <v>198</v>
      </c>
      <c r="B45" s="17">
        <v>1</v>
      </c>
      <c r="D45" s="18">
        <v>16.302723755072901</v>
      </c>
      <c r="E45" s="18">
        <v>40.6980346052096</v>
      </c>
      <c r="F45" s="16" t="s">
        <v>102</v>
      </c>
      <c r="H45" s="16" t="s">
        <v>158</v>
      </c>
      <c r="I45" s="17">
        <v>1</v>
      </c>
      <c r="J45" s="17">
        <v>0</v>
      </c>
      <c r="K45" s="16" t="s">
        <v>31</v>
      </c>
      <c r="L45" s="16" t="s">
        <v>79</v>
      </c>
      <c r="N45" s="5">
        <v>25</v>
      </c>
      <c r="O45" s="6" t="s">
        <v>99</v>
      </c>
    </row>
    <row r="46" spans="1:15" x14ac:dyDescent="0.3">
      <c r="A46" s="16" t="s">
        <v>199</v>
      </c>
      <c r="B46" s="17">
        <v>1</v>
      </c>
      <c r="D46" s="18">
        <v>12.4357670505066</v>
      </c>
      <c r="E46" s="18">
        <v>44.2917349337649</v>
      </c>
      <c r="F46" s="16" t="s">
        <v>102</v>
      </c>
      <c r="H46" s="16" t="s">
        <v>159</v>
      </c>
      <c r="I46" s="17">
        <v>1</v>
      </c>
      <c r="J46" s="17">
        <v>0</v>
      </c>
      <c r="K46" s="16" t="s">
        <v>31</v>
      </c>
      <c r="L46" s="16" t="s">
        <v>79</v>
      </c>
      <c r="N46" s="5">
        <v>26</v>
      </c>
      <c r="O46" s="6" t="s">
        <v>99</v>
      </c>
    </row>
    <row r="47" spans="1:15" x14ac:dyDescent="0.3">
      <c r="A47" s="16" t="s">
        <v>200</v>
      </c>
      <c r="B47" s="17">
        <v>1</v>
      </c>
      <c r="D47" s="18">
        <v>12.852524971028799</v>
      </c>
      <c r="E47" s="18">
        <v>45.971298027834202</v>
      </c>
      <c r="F47" s="16" t="s">
        <v>102</v>
      </c>
      <c r="H47" s="16" t="s">
        <v>160</v>
      </c>
      <c r="I47" s="17">
        <v>1</v>
      </c>
      <c r="J47" s="17">
        <v>0</v>
      </c>
      <c r="K47" s="16" t="s">
        <v>31</v>
      </c>
      <c r="L47" s="16" t="s">
        <v>79</v>
      </c>
      <c r="N47" s="5">
        <v>27</v>
      </c>
      <c r="O47" s="6" t="s">
        <v>99</v>
      </c>
    </row>
    <row r="48" spans="1:15" x14ac:dyDescent="0.3">
      <c r="A48" s="16" t="s">
        <v>201</v>
      </c>
      <c r="B48" s="17">
        <v>1</v>
      </c>
      <c r="D48" s="18">
        <v>14.046328123331</v>
      </c>
      <c r="E48" s="18">
        <v>41.815494588973799</v>
      </c>
      <c r="F48" s="16" t="s">
        <v>102</v>
      </c>
      <c r="H48" s="16" t="s">
        <v>161</v>
      </c>
      <c r="I48" s="17">
        <v>1</v>
      </c>
      <c r="J48" s="17">
        <v>0</v>
      </c>
      <c r="K48" s="16" t="s">
        <v>31</v>
      </c>
      <c r="L48" s="16" t="s">
        <v>79</v>
      </c>
      <c r="N48" s="5">
        <v>28</v>
      </c>
      <c r="O48" s="6" t="s">
        <v>99</v>
      </c>
    </row>
    <row r="49" spans="1:15" x14ac:dyDescent="0.3">
      <c r="A49" s="16" t="s">
        <v>202</v>
      </c>
      <c r="B49" s="17">
        <v>1</v>
      </c>
      <c r="D49" s="18">
        <v>11.1626444834186</v>
      </c>
      <c r="E49" s="18">
        <v>44.761276084907301</v>
      </c>
      <c r="F49" s="16" t="s">
        <v>102</v>
      </c>
      <c r="H49" s="16" t="s">
        <v>162</v>
      </c>
      <c r="I49" s="17">
        <v>1</v>
      </c>
      <c r="J49" s="17">
        <v>0</v>
      </c>
      <c r="K49" s="16" t="s">
        <v>31</v>
      </c>
      <c r="L49" s="16" t="s">
        <v>79</v>
      </c>
      <c r="N49" s="5">
        <v>29</v>
      </c>
      <c r="O49" s="6" t="s">
        <v>99</v>
      </c>
    </row>
    <row r="50" spans="1:15" x14ac:dyDescent="0.3">
      <c r="A50" s="16" t="s">
        <v>203</v>
      </c>
      <c r="B50" s="17">
        <v>1</v>
      </c>
      <c r="D50" s="18">
        <v>10.5448952614561</v>
      </c>
      <c r="E50" s="18">
        <v>45.8670375191587</v>
      </c>
      <c r="F50" s="16" t="s">
        <v>102</v>
      </c>
      <c r="H50" s="16" t="s">
        <v>163</v>
      </c>
      <c r="I50" s="17">
        <v>1</v>
      </c>
      <c r="J50" s="17">
        <v>0</v>
      </c>
      <c r="K50" s="16" t="s">
        <v>31</v>
      </c>
      <c r="L50" s="16" t="s">
        <v>79</v>
      </c>
      <c r="N50" s="5">
        <v>30</v>
      </c>
      <c r="O50" s="6" t="s">
        <v>99</v>
      </c>
    </row>
    <row r="51" spans="1:15" x14ac:dyDescent="0.3">
      <c r="A51" s="16" t="s">
        <v>204</v>
      </c>
      <c r="B51" s="17">
        <v>1</v>
      </c>
      <c r="D51" s="18">
        <v>17.7514481171055</v>
      </c>
      <c r="E51" s="18">
        <v>40.4718807048516</v>
      </c>
      <c r="F51" s="16" t="s">
        <v>102</v>
      </c>
      <c r="H51" s="16" t="s">
        <v>164</v>
      </c>
      <c r="I51" s="17">
        <v>1</v>
      </c>
      <c r="J51" s="17">
        <v>0</v>
      </c>
      <c r="K51" s="16" t="s">
        <v>31</v>
      </c>
      <c r="L51" s="16" t="s">
        <v>79</v>
      </c>
      <c r="N51" s="5">
        <v>31</v>
      </c>
      <c r="O51" s="6" t="s">
        <v>99</v>
      </c>
    </row>
    <row r="52" spans="1:15" x14ac:dyDescent="0.3">
      <c r="A52" s="16" t="s">
        <v>205</v>
      </c>
      <c r="B52" s="17">
        <v>1</v>
      </c>
      <c r="D52" s="18">
        <v>8.6526437397642901</v>
      </c>
      <c r="E52" s="18">
        <v>44.455365089512298</v>
      </c>
      <c r="F52" s="16" t="s">
        <v>102</v>
      </c>
      <c r="H52" s="16" t="s">
        <v>165</v>
      </c>
      <c r="I52" s="17">
        <v>1</v>
      </c>
      <c r="J52" s="17">
        <v>0</v>
      </c>
      <c r="K52" s="16" t="s">
        <v>31</v>
      </c>
      <c r="L52" s="16" t="s">
        <v>79</v>
      </c>
      <c r="N52" s="5">
        <v>32</v>
      </c>
      <c r="O52" s="6" t="s">
        <v>99</v>
      </c>
    </row>
    <row r="53" spans="1:15" x14ac:dyDescent="0.3">
      <c r="A53" s="16" t="s">
        <v>206</v>
      </c>
      <c r="B53" s="17">
        <v>1</v>
      </c>
      <c r="D53" s="18">
        <v>9.1546846779353501</v>
      </c>
      <c r="E53" s="18">
        <v>45.482158640498199</v>
      </c>
      <c r="F53" s="16" t="s">
        <v>102</v>
      </c>
      <c r="H53" s="16" t="s">
        <v>166</v>
      </c>
      <c r="I53" s="17">
        <v>1</v>
      </c>
      <c r="J53" s="17">
        <v>0</v>
      </c>
      <c r="K53" s="16" t="s">
        <v>31</v>
      </c>
      <c r="L53" s="16" t="s">
        <v>79</v>
      </c>
      <c r="N53" s="5">
        <v>33</v>
      </c>
      <c r="O53" s="6" t="s">
        <v>99</v>
      </c>
    </row>
    <row r="54" spans="1:15" x14ac:dyDescent="0.3">
      <c r="A54" s="16" t="s">
        <v>207</v>
      </c>
      <c r="B54" s="17">
        <v>1</v>
      </c>
      <c r="D54" s="18">
        <v>11.7214443501821</v>
      </c>
      <c r="E54" s="18">
        <v>45.7840691550497</v>
      </c>
      <c r="F54" s="16" t="s">
        <v>102</v>
      </c>
      <c r="H54" s="16" t="s">
        <v>167</v>
      </c>
      <c r="I54" s="17">
        <v>1</v>
      </c>
      <c r="J54" s="17">
        <v>0</v>
      </c>
      <c r="K54" s="16" t="s">
        <v>31</v>
      </c>
      <c r="L54" s="16" t="s">
        <v>79</v>
      </c>
      <c r="N54" s="5">
        <v>34</v>
      </c>
      <c r="O54" s="6" t="s">
        <v>99</v>
      </c>
    </row>
    <row r="55" spans="1:15" x14ac:dyDescent="0.3">
      <c r="A55" s="16" t="s">
        <v>208</v>
      </c>
      <c r="B55" s="17">
        <v>1</v>
      </c>
      <c r="D55" s="18">
        <v>13.3220202351688</v>
      </c>
      <c r="E55" s="18">
        <v>37.762771627998198</v>
      </c>
      <c r="F55" s="16" t="s">
        <v>102</v>
      </c>
      <c r="H55" s="16" t="s">
        <v>168</v>
      </c>
      <c r="I55" s="17">
        <v>1</v>
      </c>
      <c r="J55" s="17">
        <v>0</v>
      </c>
      <c r="K55" s="16" t="s">
        <v>31</v>
      </c>
      <c r="L55" s="16" t="s">
        <v>79</v>
      </c>
      <c r="N55" s="5">
        <v>35</v>
      </c>
      <c r="O55" s="6" t="s">
        <v>99</v>
      </c>
    </row>
    <row r="56" spans="1:15" x14ac:dyDescent="0.3">
      <c r="A56" s="16" t="s">
        <v>209</v>
      </c>
      <c r="B56" s="17">
        <v>1</v>
      </c>
      <c r="D56" s="18">
        <v>14.5641774069598</v>
      </c>
      <c r="E56" s="18">
        <v>40.983476719970099</v>
      </c>
      <c r="F56" s="16" t="s">
        <v>102</v>
      </c>
      <c r="H56" s="16" t="s">
        <v>169</v>
      </c>
      <c r="I56" s="17">
        <v>1</v>
      </c>
      <c r="J56" s="17">
        <v>0</v>
      </c>
      <c r="K56" s="16" t="s">
        <v>31</v>
      </c>
      <c r="L56" s="16" t="s">
        <v>79</v>
      </c>
      <c r="N56" s="5">
        <v>36</v>
      </c>
      <c r="O56" s="6" t="s">
        <v>99</v>
      </c>
    </row>
    <row r="57" spans="1:15" x14ac:dyDescent="0.3">
      <c r="A57" s="16" t="s">
        <v>210</v>
      </c>
      <c r="B57" s="17">
        <v>1</v>
      </c>
      <c r="D57" s="18">
        <v>9.8842555390185591</v>
      </c>
      <c r="E57" s="18">
        <v>44.684202446587697</v>
      </c>
      <c r="F57" s="16" t="s">
        <v>102</v>
      </c>
      <c r="H57" s="16" t="s">
        <v>170</v>
      </c>
      <c r="I57" s="17">
        <v>1</v>
      </c>
      <c r="J57" s="17">
        <v>0</v>
      </c>
      <c r="K57" s="16" t="s">
        <v>31</v>
      </c>
      <c r="L57" s="16" t="s">
        <v>79</v>
      </c>
      <c r="N57" s="5">
        <v>37</v>
      </c>
      <c r="O57" s="6" t="s">
        <v>99</v>
      </c>
    </row>
    <row r="58" spans="1:15" x14ac:dyDescent="0.3">
      <c r="A58" s="16" t="s">
        <v>211</v>
      </c>
      <c r="B58" s="17">
        <v>1</v>
      </c>
      <c r="D58" s="18">
        <v>13.5275829269107</v>
      </c>
      <c r="E58" s="18">
        <v>42.841364851120197</v>
      </c>
      <c r="F58" s="16" t="s">
        <v>102</v>
      </c>
      <c r="H58" s="16" t="s">
        <v>171</v>
      </c>
      <c r="I58" s="17">
        <v>1</v>
      </c>
      <c r="J58" s="17">
        <v>0</v>
      </c>
      <c r="K58" s="16" t="s">
        <v>31</v>
      </c>
      <c r="L58" s="16" t="s">
        <v>79</v>
      </c>
      <c r="N58" s="5">
        <v>38</v>
      </c>
      <c r="O58" s="6" t="s">
        <v>99</v>
      </c>
    </row>
    <row r="59" spans="1:15" x14ac:dyDescent="0.3">
      <c r="A59" s="16" t="s">
        <v>212</v>
      </c>
      <c r="B59" s="17">
        <v>1</v>
      </c>
      <c r="D59" s="18">
        <v>14.888678745862601</v>
      </c>
      <c r="E59" s="18">
        <v>37.341117139363298</v>
      </c>
      <c r="F59" s="16" t="s">
        <v>102</v>
      </c>
      <c r="H59" s="16" t="s">
        <v>172</v>
      </c>
      <c r="I59" s="17">
        <v>1</v>
      </c>
      <c r="J59" s="17">
        <v>0</v>
      </c>
      <c r="K59" s="16" t="s">
        <v>31</v>
      </c>
      <c r="L59" s="16" t="s">
        <v>79</v>
      </c>
      <c r="N59" s="5">
        <v>39</v>
      </c>
      <c r="O59" s="6" t="s">
        <v>99</v>
      </c>
    </row>
    <row r="60" spans="1:15" x14ac:dyDescent="0.3">
      <c r="A60" s="16" t="s">
        <v>213</v>
      </c>
      <c r="B60" s="17">
        <v>1</v>
      </c>
      <c r="D60" s="18">
        <v>7.6639613577470804</v>
      </c>
      <c r="E60" s="18">
        <v>45.146088928697097</v>
      </c>
      <c r="F60" s="16" t="s">
        <v>102</v>
      </c>
      <c r="H60" s="16" t="s">
        <v>173</v>
      </c>
      <c r="I60" s="17">
        <v>1</v>
      </c>
      <c r="J60" s="17">
        <v>0</v>
      </c>
      <c r="K60" s="16" t="s">
        <v>31</v>
      </c>
      <c r="L60" s="16" t="s">
        <v>79</v>
      </c>
      <c r="N60" s="5">
        <v>40</v>
      </c>
      <c r="O60" s="6" t="s">
        <v>99</v>
      </c>
    </row>
    <row r="61" spans="1:15" x14ac:dyDescent="0.3">
      <c r="A61" s="16" t="s">
        <v>214</v>
      </c>
      <c r="B61" s="17">
        <v>1</v>
      </c>
      <c r="D61" s="18">
        <v>8.7398246778425897</v>
      </c>
      <c r="E61" s="18">
        <v>40.032889929774797</v>
      </c>
      <c r="F61" s="16" t="s">
        <v>102</v>
      </c>
      <c r="H61" s="16" t="s">
        <v>174</v>
      </c>
      <c r="I61" s="17">
        <v>1</v>
      </c>
      <c r="J61" s="17">
        <v>0</v>
      </c>
      <c r="K61" s="16" t="s">
        <v>31</v>
      </c>
      <c r="L61" s="16" t="s">
        <v>79</v>
      </c>
      <c r="N61" s="5">
        <v>41</v>
      </c>
      <c r="O61" s="6" t="s">
        <v>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21"/>
  <sheetViews>
    <sheetView workbookViewId="0">
      <selection sqref="A1:H21"/>
    </sheetView>
  </sheetViews>
  <sheetFormatPr defaultRowHeight="14.4" x14ac:dyDescent="0.3"/>
  <cols>
    <col min="1" max="3" width="8.88671875" style="16" bestFit="1" customWidth="1"/>
  </cols>
  <sheetData>
    <row r="1" spans="1:8" ht="19.5" customHeight="1" x14ac:dyDescent="0.3">
      <c r="A1" s="9" t="s">
        <v>0</v>
      </c>
      <c r="B1" s="9" t="s">
        <v>1</v>
      </c>
      <c r="C1" s="9" t="s">
        <v>3</v>
      </c>
      <c r="D1" t="s">
        <v>2</v>
      </c>
      <c r="E1" t="s">
        <v>15</v>
      </c>
      <c r="F1" t="s">
        <v>16</v>
      </c>
      <c r="G1" t="s">
        <v>17</v>
      </c>
      <c r="H1" t="s">
        <v>23</v>
      </c>
    </row>
    <row r="2" spans="1:8" ht="19.5" customHeight="1" x14ac:dyDescent="0.3">
      <c r="A2" s="9" t="s">
        <v>72</v>
      </c>
      <c r="B2" s="9" t="s">
        <v>72</v>
      </c>
      <c r="C2" s="9"/>
      <c r="E2">
        <v>0</v>
      </c>
      <c r="F2">
        <v>0</v>
      </c>
      <c r="G2">
        <v>-1</v>
      </c>
      <c r="H2" t="s">
        <v>30</v>
      </c>
    </row>
    <row r="3" spans="1:8" x14ac:dyDescent="0.3">
      <c r="A3" s="16" t="s">
        <v>156</v>
      </c>
      <c r="B3" s="16" t="s">
        <v>156</v>
      </c>
      <c r="E3">
        <v>0</v>
      </c>
      <c r="F3">
        <v>0</v>
      </c>
      <c r="G3">
        <v>-1</v>
      </c>
      <c r="H3" t="s">
        <v>30</v>
      </c>
    </row>
    <row r="4" spans="1:8" x14ac:dyDescent="0.3">
      <c r="A4" s="16" t="s">
        <v>157</v>
      </c>
      <c r="B4" s="16" t="s">
        <v>157</v>
      </c>
      <c r="E4">
        <v>0</v>
      </c>
      <c r="F4">
        <v>0</v>
      </c>
      <c r="G4">
        <v>-1</v>
      </c>
      <c r="H4" t="s">
        <v>30</v>
      </c>
    </row>
    <row r="5" spans="1:8" x14ac:dyDescent="0.3">
      <c r="A5" s="16" t="s">
        <v>158</v>
      </c>
      <c r="B5" s="16" t="s">
        <v>158</v>
      </c>
      <c r="E5">
        <v>0</v>
      </c>
      <c r="F5">
        <v>0</v>
      </c>
      <c r="G5">
        <v>-1</v>
      </c>
      <c r="H5" t="s">
        <v>30</v>
      </c>
    </row>
    <row r="6" spans="1:8" x14ac:dyDescent="0.3">
      <c r="A6" s="16" t="s">
        <v>159</v>
      </c>
      <c r="B6" s="16" t="s">
        <v>159</v>
      </c>
      <c r="E6">
        <v>0</v>
      </c>
      <c r="F6">
        <v>0</v>
      </c>
      <c r="G6">
        <v>-1</v>
      </c>
      <c r="H6" t="s">
        <v>30</v>
      </c>
    </row>
    <row r="7" spans="1:8" x14ac:dyDescent="0.3">
      <c r="A7" s="16" t="s">
        <v>160</v>
      </c>
      <c r="B7" s="16" t="s">
        <v>160</v>
      </c>
      <c r="E7">
        <v>0</v>
      </c>
      <c r="F7">
        <v>0</v>
      </c>
      <c r="G7">
        <v>-1</v>
      </c>
      <c r="H7" t="s">
        <v>30</v>
      </c>
    </row>
    <row r="8" spans="1:8" x14ac:dyDescent="0.3">
      <c r="A8" s="16" t="s">
        <v>161</v>
      </c>
      <c r="B8" s="16" t="s">
        <v>161</v>
      </c>
      <c r="E8">
        <v>0</v>
      </c>
      <c r="F8">
        <v>0</v>
      </c>
      <c r="G8">
        <v>-1</v>
      </c>
      <c r="H8" t="s">
        <v>30</v>
      </c>
    </row>
    <row r="9" spans="1:8" x14ac:dyDescent="0.3">
      <c r="A9" s="16" t="s">
        <v>162</v>
      </c>
      <c r="B9" s="16" t="s">
        <v>162</v>
      </c>
      <c r="E9">
        <v>0</v>
      </c>
      <c r="F9">
        <v>0</v>
      </c>
      <c r="G9">
        <v>-1</v>
      </c>
      <c r="H9" t="s">
        <v>30</v>
      </c>
    </row>
    <row r="10" spans="1:8" x14ac:dyDescent="0.3">
      <c r="A10" s="16" t="s">
        <v>163</v>
      </c>
      <c r="B10" s="16" t="s">
        <v>163</v>
      </c>
      <c r="E10">
        <v>0</v>
      </c>
      <c r="F10">
        <v>0</v>
      </c>
      <c r="G10">
        <v>-1</v>
      </c>
      <c r="H10" t="s">
        <v>30</v>
      </c>
    </row>
    <row r="11" spans="1:8" x14ac:dyDescent="0.3">
      <c r="A11" s="16" t="s">
        <v>164</v>
      </c>
      <c r="B11" s="16" t="s">
        <v>164</v>
      </c>
      <c r="E11">
        <v>0</v>
      </c>
      <c r="F11">
        <v>0</v>
      </c>
      <c r="G11">
        <v>-1</v>
      </c>
      <c r="H11" t="s">
        <v>30</v>
      </c>
    </row>
    <row r="12" spans="1:8" x14ac:dyDescent="0.3">
      <c r="A12" s="16" t="s">
        <v>165</v>
      </c>
      <c r="B12" s="16" t="s">
        <v>165</v>
      </c>
      <c r="E12">
        <v>0</v>
      </c>
      <c r="F12">
        <v>0</v>
      </c>
      <c r="G12">
        <v>-1</v>
      </c>
      <c r="H12" t="s">
        <v>30</v>
      </c>
    </row>
    <row r="13" spans="1:8" x14ac:dyDescent="0.3">
      <c r="A13" s="16" t="s">
        <v>166</v>
      </c>
      <c r="B13" s="16" t="s">
        <v>166</v>
      </c>
      <c r="E13">
        <v>0</v>
      </c>
      <c r="F13">
        <v>0</v>
      </c>
      <c r="G13">
        <v>-1</v>
      </c>
      <c r="H13" t="s">
        <v>30</v>
      </c>
    </row>
    <row r="14" spans="1:8" x14ac:dyDescent="0.3">
      <c r="A14" s="16" t="s">
        <v>167</v>
      </c>
      <c r="B14" s="16" t="s">
        <v>167</v>
      </c>
      <c r="E14">
        <v>0</v>
      </c>
      <c r="F14">
        <v>0</v>
      </c>
      <c r="G14">
        <v>-1</v>
      </c>
      <c r="H14" t="s">
        <v>30</v>
      </c>
    </row>
    <row r="15" spans="1:8" x14ac:dyDescent="0.3">
      <c r="A15" s="16" t="s">
        <v>168</v>
      </c>
      <c r="B15" s="16" t="s">
        <v>168</v>
      </c>
      <c r="E15">
        <v>0</v>
      </c>
      <c r="F15">
        <v>0</v>
      </c>
      <c r="G15">
        <v>-1</v>
      </c>
      <c r="H15" t="s">
        <v>30</v>
      </c>
    </row>
    <row r="16" spans="1:8" x14ac:dyDescent="0.3">
      <c r="A16" s="16" t="s">
        <v>169</v>
      </c>
      <c r="B16" s="16" t="s">
        <v>169</v>
      </c>
      <c r="E16">
        <v>0</v>
      </c>
      <c r="F16">
        <v>0</v>
      </c>
      <c r="G16">
        <v>-1</v>
      </c>
      <c r="H16" t="s">
        <v>30</v>
      </c>
    </row>
    <row r="17" spans="1:8" x14ac:dyDescent="0.3">
      <c r="A17" s="16" t="s">
        <v>170</v>
      </c>
      <c r="B17" s="16" t="s">
        <v>170</v>
      </c>
      <c r="E17">
        <v>0</v>
      </c>
      <c r="F17">
        <v>0</v>
      </c>
      <c r="G17">
        <v>-1</v>
      </c>
      <c r="H17" t="s">
        <v>30</v>
      </c>
    </row>
    <row r="18" spans="1:8" x14ac:dyDescent="0.3">
      <c r="A18" s="16" t="s">
        <v>171</v>
      </c>
      <c r="B18" s="16" t="s">
        <v>171</v>
      </c>
      <c r="E18">
        <v>0</v>
      </c>
      <c r="F18">
        <v>0</v>
      </c>
      <c r="G18">
        <v>-1</v>
      </c>
      <c r="H18" t="s">
        <v>30</v>
      </c>
    </row>
    <row r="19" spans="1:8" x14ac:dyDescent="0.3">
      <c r="A19" s="16" t="s">
        <v>172</v>
      </c>
      <c r="B19" s="16" t="s">
        <v>172</v>
      </c>
      <c r="E19">
        <v>0</v>
      </c>
      <c r="F19">
        <v>0</v>
      </c>
      <c r="G19">
        <v>-1</v>
      </c>
      <c r="H19" t="s">
        <v>30</v>
      </c>
    </row>
    <row r="20" spans="1:8" x14ac:dyDescent="0.3">
      <c r="A20" s="16" t="s">
        <v>173</v>
      </c>
      <c r="B20" s="16" t="s">
        <v>173</v>
      </c>
      <c r="E20">
        <v>0</v>
      </c>
      <c r="F20">
        <v>0</v>
      </c>
      <c r="G20">
        <v>-1</v>
      </c>
      <c r="H20" t="s">
        <v>30</v>
      </c>
    </row>
    <row r="21" spans="1:8" x14ac:dyDescent="0.3">
      <c r="A21" s="16" t="s">
        <v>174</v>
      </c>
      <c r="B21" s="16" t="s">
        <v>174</v>
      </c>
      <c r="E21">
        <v>0</v>
      </c>
      <c r="F21">
        <v>0</v>
      </c>
      <c r="G21">
        <v>-1</v>
      </c>
      <c r="H21" t="s">
        <v>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L30"/>
  <sheetViews>
    <sheetView workbookViewId="0">
      <selection sqref="A1:XFD1"/>
    </sheetView>
  </sheetViews>
  <sheetFormatPr defaultRowHeight="14.4" x14ac:dyDescent="0.3"/>
  <cols>
    <col min="1" max="4" width="8.88671875" style="5" bestFit="1" customWidth="1"/>
    <col min="5" max="5" width="16.5546875" style="5" bestFit="1" customWidth="1"/>
    <col min="6" max="8" width="8.88671875" style="5" bestFit="1" customWidth="1"/>
  </cols>
  <sheetData>
    <row r="1" spans="1:38" ht="18.75" customHeight="1" x14ac:dyDescent="0.3">
      <c r="A1" s="9" t="s">
        <v>0</v>
      </c>
      <c r="B1" s="9" t="s">
        <v>40</v>
      </c>
      <c r="C1" s="9" t="s">
        <v>41</v>
      </c>
      <c r="D1" s="9" t="s">
        <v>2</v>
      </c>
      <c r="E1" s="9" t="s">
        <v>82</v>
      </c>
      <c r="F1" s="9" t="s">
        <v>83</v>
      </c>
      <c r="G1" s="9" t="s">
        <v>215</v>
      </c>
      <c r="H1" s="9" t="s">
        <v>216</v>
      </c>
      <c r="I1" t="s">
        <v>84</v>
      </c>
      <c r="J1" t="s">
        <v>217</v>
      </c>
      <c r="K1" t="s">
        <v>81</v>
      </c>
      <c r="L1" t="s">
        <v>218</v>
      </c>
      <c r="M1" t="s">
        <v>219</v>
      </c>
      <c r="N1" t="s">
        <v>220</v>
      </c>
      <c r="O1" t="s">
        <v>221</v>
      </c>
      <c r="P1" t="s">
        <v>21</v>
      </c>
      <c r="Q1" t="s">
        <v>23</v>
      </c>
      <c r="R1" t="s">
        <v>24</v>
      </c>
      <c r="S1" t="s">
        <v>25</v>
      </c>
      <c r="T1" t="s">
        <v>48</v>
      </c>
      <c r="U1" t="s">
        <v>3</v>
      </c>
      <c r="V1" t="s">
        <v>49</v>
      </c>
      <c r="W1" t="s">
        <v>222</v>
      </c>
      <c r="X1" t="s">
        <v>223</v>
      </c>
      <c r="Y1" t="s">
        <v>224</v>
      </c>
      <c r="Z1" t="s">
        <v>94</v>
      </c>
      <c r="AA1" t="s">
        <v>225</v>
      </c>
      <c r="AB1" t="s">
        <v>226</v>
      </c>
      <c r="AC1" t="s">
        <v>227</v>
      </c>
      <c r="AD1" t="s">
        <v>228</v>
      </c>
      <c r="AE1" t="s">
        <v>229</v>
      </c>
      <c r="AF1" t="s">
        <v>230</v>
      </c>
      <c r="AG1" t="s">
        <v>231</v>
      </c>
      <c r="AH1" t="s">
        <v>232</v>
      </c>
      <c r="AI1" t="s">
        <v>86</v>
      </c>
      <c r="AJ1" t="s">
        <v>64</v>
      </c>
      <c r="AK1" t="s">
        <v>70</v>
      </c>
      <c r="AL1" t="s">
        <v>71</v>
      </c>
    </row>
    <row r="2" spans="1:38" x14ac:dyDescent="0.3">
      <c r="A2" s="5">
        <v>0</v>
      </c>
      <c r="B2" s="5" t="s">
        <v>72</v>
      </c>
      <c r="C2" s="5" t="s">
        <v>157</v>
      </c>
      <c r="D2" s="5" t="s">
        <v>233</v>
      </c>
      <c r="E2" s="5">
        <v>17.082368756933999</v>
      </c>
      <c r="F2" s="5">
        <v>2.0832157020651199</v>
      </c>
      <c r="G2" s="5">
        <v>0</v>
      </c>
      <c r="H2" s="5">
        <v>2.70947067021659E-3</v>
      </c>
      <c r="I2">
        <v>5094.3078352215798</v>
      </c>
      <c r="J2">
        <v>0</v>
      </c>
      <c r="K2" t="s">
        <v>30</v>
      </c>
      <c r="L2">
        <v>5094.3078352215798</v>
      </c>
      <c r="M2">
        <v>25094.307835221502</v>
      </c>
      <c r="O2">
        <v>0.7</v>
      </c>
      <c r="P2">
        <v>23.975514729463001</v>
      </c>
      <c r="Q2" t="s">
        <v>30</v>
      </c>
      <c r="R2">
        <v>0</v>
      </c>
      <c r="S2" t="s">
        <v>31</v>
      </c>
      <c r="T2">
        <v>208.32157020651201</v>
      </c>
      <c r="U2" t="s">
        <v>85</v>
      </c>
      <c r="V2">
        <v>1</v>
      </c>
      <c r="W2">
        <v>3</v>
      </c>
      <c r="X2" t="e">
        <f>-inf</f>
        <v>#NAME?</v>
      </c>
      <c r="Y2" t="s">
        <v>31</v>
      </c>
      <c r="Z2">
        <v>0</v>
      </c>
      <c r="AA2">
        <v>1.18298952610346E-4</v>
      </c>
      <c r="AB2" s="19">
        <v>1.44267015378471E-5</v>
      </c>
      <c r="AC2">
        <v>0</v>
      </c>
      <c r="AD2">
        <v>391.24756477927599</v>
      </c>
      <c r="AE2">
        <v>1.18298952610346E-4</v>
      </c>
      <c r="AF2" s="19">
        <v>1.44267015378471E-5</v>
      </c>
      <c r="AG2">
        <v>5094.3078356484402</v>
      </c>
      <c r="AH2">
        <v>2.58</v>
      </c>
      <c r="AI2">
        <v>380</v>
      </c>
      <c r="AJ2">
        <v>0</v>
      </c>
      <c r="AK2">
        <v>0</v>
      </c>
      <c r="AL2">
        <v>2</v>
      </c>
    </row>
    <row r="3" spans="1:38" x14ac:dyDescent="0.3">
      <c r="A3" s="5">
        <v>1</v>
      </c>
      <c r="B3" s="5" t="s">
        <v>72</v>
      </c>
      <c r="C3" s="5" t="s">
        <v>161</v>
      </c>
      <c r="D3" s="5" t="s">
        <v>233</v>
      </c>
      <c r="E3" s="5">
        <v>8.7358450110649297</v>
      </c>
      <c r="F3" s="5">
        <v>1.0653469525688899</v>
      </c>
      <c r="G3" s="5">
        <v>0</v>
      </c>
      <c r="H3" s="5">
        <v>2.4633082135500201E-3</v>
      </c>
      <c r="I3">
        <v>6792.4104469621097</v>
      </c>
      <c r="J3">
        <v>0</v>
      </c>
      <c r="K3" t="s">
        <v>30</v>
      </c>
      <c r="L3">
        <v>6792.4104469621097</v>
      </c>
      <c r="M3">
        <v>26792.410446962102</v>
      </c>
      <c r="O3">
        <v>0.7</v>
      </c>
      <c r="P3">
        <v>16.347957648990199</v>
      </c>
      <c r="Q3" t="s">
        <v>30</v>
      </c>
      <c r="R3">
        <v>0</v>
      </c>
      <c r="S3" t="s">
        <v>31</v>
      </c>
      <c r="T3">
        <v>142.04626034251899</v>
      </c>
      <c r="U3" t="s">
        <v>85</v>
      </c>
      <c r="V3">
        <v>1</v>
      </c>
      <c r="W3">
        <v>4</v>
      </c>
      <c r="X3" t="e">
        <f>-inf</f>
        <v>#NAME?</v>
      </c>
      <c r="Y3" t="s">
        <v>31</v>
      </c>
      <c r="Z3">
        <v>0</v>
      </c>
      <c r="AA3" s="19">
        <v>6.0497541627873499E-5</v>
      </c>
      <c r="AB3" s="19">
        <v>7.3777489790089603E-6</v>
      </c>
      <c r="AC3">
        <v>0</v>
      </c>
      <c r="AD3">
        <v>355.70170603662399</v>
      </c>
      <c r="AE3" s="19">
        <v>6.0497541627873499E-5</v>
      </c>
      <c r="AF3" s="19">
        <v>7.3777489790089603E-6</v>
      </c>
      <c r="AG3">
        <v>6792.4104471098799</v>
      </c>
      <c r="AH3">
        <v>2.58</v>
      </c>
      <c r="AI3">
        <v>380</v>
      </c>
      <c r="AJ3">
        <v>0</v>
      </c>
      <c r="AK3">
        <v>0</v>
      </c>
      <c r="AL3">
        <v>6</v>
      </c>
    </row>
    <row r="4" spans="1:38" x14ac:dyDescent="0.3">
      <c r="A4" s="5">
        <v>10</v>
      </c>
      <c r="B4" s="5" t="s">
        <v>158</v>
      </c>
      <c r="C4" s="5" t="s">
        <v>169</v>
      </c>
      <c r="D4" s="5" t="s">
        <v>233</v>
      </c>
      <c r="E4" s="5">
        <v>6.9599441292426398</v>
      </c>
      <c r="F4" s="5">
        <v>0.84877367429788297</v>
      </c>
      <c r="G4" s="5">
        <v>0</v>
      </c>
      <c r="H4" s="5">
        <v>3.43182020577236E-3</v>
      </c>
      <c r="I4">
        <v>8982.0690778906792</v>
      </c>
      <c r="J4">
        <v>0</v>
      </c>
      <c r="K4" t="s">
        <v>30</v>
      </c>
      <c r="L4">
        <v>8982.0690778906792</v>
      </c>
      <c r="M4">
        <v>28982.069077890599</v>
      </c>
      <c r="O4">
        <v>0.7</v>
      </c>
      <c r="P4">
        <v>17.223317456121801</v>
      </c>
      <c r="Q4" t="s">
        <v>30</v>
      </c>
      <c r="R4">
        <v>0</v>
      </c>
      <c r="S4" t="s">
        <v>31</v>
      </c>
      <c r="T4">
        <v>149.65220046831101</v>
      </c>
      <c r="U4" t="s">
        <v>85</v>
      </c>
      <c r="V4">
        <v>1</v>
      </c>
      <c r="W4">
        <v>5.2894736842105203</v>
      </c>
      <c r="X4" t="e">
        <f>-inf</f>
        <v>#NAME?</v>
      </c>
      <c r="Y4" t="s">
        <v>31</v>
      </c>
      <c r="Z4">
        <v>0</v>
      </c>
      <c r="AA4" s="19">
        <v>4.8199059066777298E-5</v>
      </c>
      <c r="AB4" s="19">
        <v>5.8779340325338204E-6</v>
      </c>
      <c r="AC4">
        <v>0</v>
      </c>
      <c r="AD4">
        <v>495.55483771352999</v>
      </c>
      <c r="AE4" s="19">
        <v>4.8199059066777298E-5</v>
      </c>
      <c r="AF4" s="19">
        <v>5.8779340325338204E-6</v>
      </c>
      <c r="AG4">
        <v>8982.0690780309305</v>
      </c>
      <c r="AH4">
        <v>2.58</v>
      </c>
      <c r="AI4">
        <v>380</v>
      </c>
      <c r="AJ4">
        <v>0</v>
      </c>
      <c r="AK4">
        <v>3</v>
      </c>
      <c r="AL4">
        <v>14</v>
      </c>
    </row>
    <row r="5" spans="1:38" x14ac:dyDescent="0.3">
      <c r="A5" s="5">
        <v>11</v>
      </c>
      <c r="B5" s="5" t="s">
        <v>159</v>
      </c>
      <c r="C5" s="5" t="s">
        <v>162</v>
      </c>
      <c r="D5" s="5" t="s">
        <v>233</v>
      </c>
      <c r="E5" s="5">
        <v>9.3175306030070395</v>
      </c>
      <c r="F5" s="5">
        <v>1.1362842198789</v>
      </c>
      <c r="G5" s="5">
        <v>0</v>
      </c>
      <c r="H5" s="5">
        <v>1.47787325323049E-3</v>
      </c>
      <c r="I5">
        <v>5094.3078352215798</v>
      </c>
      <c r="J5">
        <v>0</v>
      </c>
      <c r="K5" t="s">
        <v>30</v>
      </c>
      <c r="L5">
        <v>5094.3078352215798</v>
      </c>
      <c r="M5">
        <v>25094.307835221502</v>
      </c>
      <c r="O5">
        <v>0.7</v>
      </c>
      <c r="P5">
        <v>13.0773779323748</v>
      </c>
      <c r="Q5" t="s">
        <v>30</v>
      </c>
      <c r="R5">
        <v>0</v>
      </c>
      <c r="S5" t="s">
        <v>31</v>
      </c>
      <c r="T5">
        <v>113.62842198788999</v>
      </c>
      <c r="U5" t="s">
        <v>85</v>
      </c>
      <c r="V5">
        <v>1</v>
      </c>
      <c r="W5">
        <v>3</v>
      </c>
      <c r="X5" t="e">
        <f>-inf</f>
        <v>#NAME?</v>
      </c>
      <c r="Y5" t="s">
        <v>31</v>
      </c>
      <c r="Z5">
        <v>0</v>
      </c>
      <c r="AA5" s="19">
        <v>6.4525835200879698E-5</v>
      </c>
      <c r="AB5" s="19">
        <v>7.8690042927902092E-6</v>
      </c>
      <c r="AC5">
        <v>0</v>
      </c>
      <c r="AD5">
        <v>213.404897766483</v>
      </c>
      <c r="AE5" s="19">
        <v>6.4525835200879698E-5</v>
      </c>
      <c r="AF5" s="19">
        <v>7.8690042927902092E-6</v>
      </c>
      <c r="AG5">
        <v>5094.30783540628</v>
      </c>
      <c r="AH5">
        <v>2.58</v>
      </c>
      <c r="AI5">
        <v>380</v>
      </c>
      <c r="AJ5">
        <v>0</v>
      </c>
      <c r="AK5">
        <v>4</v>
      </c>
      <c r="AL5">
        <v>7</v>
      </c>
    </row>
    <row r="6" spans="1:38" x14ac:dyDescent="0.3">
      <c r="A6" s="5">
        <v>12</v>
      </c>
      <c r="B6" s="5" t="s">
        <v>159</v>
      </c>
      <c r="C6" s="5" t="s">
        <v>167</v>
      </c>
      <c r="D6" s="5" t="s">
        <v>233</v>
      </c>
      <c r="E6" s="5">
        <v>21.546307725968401</v>
      </c>
      <c r="F6" s="5">
        <v>2.62759850316688</v>
      </c>
      <c r="G6" s="5">
        <v>0</v>
      </c>
      <c r="H6" s="5">
        <v>1.5188913243603999E-3</v>
      </c>
      <c r="I6">
        <v>3396.2052234810499</v>
      </c>
      <c r="J6">
        <v>0</v>
      </c>
      <c r="K6" t="s">
        <v>30</v>
      </c>
      <c r="L6">
        <v>3396.2052234810499</v>
      </c>
      <c r="M6">
        <v>23396.205223481</v>
      </c>
      <c r="O6">
        <v>0.7</v>
      </c>
      <c r="P6">
        <v>20.160506839927599</v>
      </c>
      <c r="Q6" t="s">
        <v>30</v>
      </c>
      <c r="R6">
        <v>0</v>
      </c>
      <c r="S6" t="s">
        <v>31</v>
      </c>
      <c r="T6">
        <v>175.17323354445901</v>
      </c>
      <c r="U6" t="s">
        <v>85</v>
      </c>
      <c r="V6">
        <v>1</v>
      </c>
      <c r="W6">
        <v>2</v>
      </c>
      <c r="X6" t="e">
        <f>-inf</f>
        <v>#NAME?</v>
      </c>
      <c r="Y6" t="s">
        <v>31</v>
      </c>
      <c r="Z6">
        <v>0</v>
      </c>
      <c r="AA6">
        <v>1.49212657382053E-4</v>
      </c>
      <c r="AB6" s="19">
        <v>1.8196665534396701E-5</v>
      </c>
      <c r="AC6">
        <v>0</v>
      </c>
      <c r="AD6">
        <v>219.32790723764199</v>
      </c>
      <c r="AE6">
        <v>1.49212657382053E-4</v>
      </c>
      <c r="AF6" s="19">
        <v>1.8196665534396701E-5</v>
      </c>
      <c r="AG6">
        <v>3396.2052236008599</v>
      </c>
      <c r="AH6">
        <v>2.58</v>
      </c>
      <c r="AI6">
        <v>380</v>
      </c>
      <c r="AJ6">
        <v>0</v>
      </c>
      <c r="AK6">
        <v>4</v>
      </c>
      <c r="AL6">
        <v>12</v>
      </c>
    </row>
    <row r="7" spans="1:38" x14ac:dyDescent="0.3">
      <c r="A7" s="5">
        <v>13</v>
      </c>
      <c r="B7" s="5" t="s">
        <v>159</v>
      </c>
      <c r="C7" s="5" t="s">
        <v>171</v>
      </c>
      <c r="D7" s="5" t="s">
        <v>233</v>
      </c>
      <c r="E7" s="5">
        <v>45.190204523063798</v>
      </c>
      <c r="F7" s="5">
        <v>5.5110005515931499</v>
      </c>
      <c r="G7" s="5">
        <v>0</v>
      </c>
      <c r="H7" s="5">
        <v>7.9641266695345896E-4</v>
      </c>
      <c r="I7">
        <v>1698.1026117405199</v>
      </c>
      <c r="J7">
        <v>0</v>
      </c>
      <c r="K7" t="s">
        <v>30</v>
      </c>
      <c r="L7">
        <v>1698.1026117405199</v>
      </c>
      <c r="M7">
        <v>21698.102611740502</v>
      </c>
      <c r="O7">
        <v>0.7</v>
      </c>
      <c r="P7">
        <v>21.1418457160275</v>
      </c>
      <c r="Q7" t="s">
        <v>30</v>
      </c>
      <c r="R7">
        <v>0</v>
      </c>
      <c r="S7" t="s">
        <v>31</v>
      </c>
      <c r="T7">
        <v>183.70001838643799</v>
      </c>
      <c r="U7" t="s">
        <v>85</v>
      </c>
      <c r="V7">
        <v>1</v>
      </c>
      <c r="W7">
        <v>1</v>
      </c>
      <c r="X7" t="e">
        <f>-inf</f>
        <v>#NAME?</v>
      </c>
      <c r="Y7" t="s">
        <v>31</v>
      </c>
      <c r="Z7">
        <v>0</v>
      </c>
      <c r="AA7">
        <v>3.1295155486886299E-4</v>
      </c>
      <c r="AB7" s="19">
        <v>3.8164823764495401E-5</v>
      </c>
      <c r="AC7">
        <v>0</v>
      </c>
      <c r="AD7">
        <v>115.001989108079</v>
      </c>
      <c r="AE7">
        <v>3.1295155486886299E-4</v>
      </c>
      <c r="AF7" s="19">
        <v>3.8164823764495401E-5</v>
      </c>
      <c r="AG7">
        <v>1698.10261280288</v>
      </c>
      <c r="AH7">
        <v>2.58</v>
      </c>
      <c r="AI7">
        <v>380</v>
      </c>
      <c r="AJ7">
        <v>0</v>
      </c>
      <c r="AK7">
        <v>4</v>
      </c>
      <c r="AL7">
        <v>16</v>
      </c>
    </row>
    <row r="8" spans="1:38" x14ac:dyDescent="0.3">
      <c r="A8" s="5">
        <v>14</v>
      </c>
      <c r="B8" s="5" t="s">
        <v>160</v>
      </c>
      <c r="C8" s="5" t="s">
        <v>167</v>
      </c>
      <c r="D8" s="5" t="s">
        <v>233</v>
      </c>
      <c r="E8" s="5">
        <v>7.7185783988014398</v>
      </c>
      <c r="F8" s="5">
        <v>0.94129004863432197</v>
      </c>
      <c r="G8" s="5">
        <v>0</v>
      </c>
      <c r="H8" s="5">
        <v>1.11922389693162E-3</v>
      </c>
      <c r="I8">
        <v>4870.8732810451902</v>
      </c>
      <c r="J8">
        <v>0</v>
      </c>
      <c r="K8" t="s">
        <v>30</v>
      </c>
      <c r="L8">
        <v>4870.8732810451902</v>
      </c>
      <c r="M8">
        <v>24870.873281045198</v>
      </c>
      <c r="O8">
        <v>0.7</v>
      </c>
      <c r="P8">
        <v>10.3580693252514</v>
      </c>
      <c r="Q8" t="s">
        <v>30</v>
      </c>
      <c r="R8">
        <v>0</v>
      </c>
      <c r="S8" t="s">
        <v>31</v>
      </c>
      <c r="T8">
        <v>90.000539737843098</v>
      </c>
      <c r="U8" t="s">
        <v>85</v>
      </c>
      <c r="V8">
        <v>1</v>
      </c>
      <c r="W8">
        <v>2.8684210526315699</v>
      </c>
      <c r="X8" t="e">
        <f>-inf</f>
        <v>#NAME?</v>
      </c>
      <c r="Y8" t="s">
        <v>31</v>
      </c>
      <c r="Z8">
        <v>0</v>
      </c>
      <c r="AA8" s="19">
        <v>5.3452758994469802E-5</v>
      </c>
      <c r="AB8" s="19">
        <v>6.5186291456670502E-6</v>
      </c>
      <c r="AC8">
        <v>0</v>
      </c>
      <c r="AD8">
        <v>161.61593071692599</v>
      </c>
      <c r="AE8" s="19">
        <v>5.3452758994469802E-5</v>
      </c>
      <c r="AF8" s="19">
        <v>6.5186291456670502E-6</v>
      </c>
      <c r="AG8">
        <v>4870.8732812783901</v>
      </c>
      <c r="AH8">
        <v>2.58</v>
      </c>
      <c r="AI8">
        <v>380</v>
      </c>
      <c r="AJ8">
        <v>0</v>
      </c>
      <c r="AK8">
        <v>5</v>
      </c>
      <c r="AL8">
        <v>12</v>
      </c>
    </row>
    <row r="9" spans="1:38" x14ac:dyDescent="0.3">
      <c r="A9" s="5">
        <v>15</v>
      </c>
      <c r="B9" s="5" t="s">
        <v>161</v>
      </c>
      <c r="C9" s="5" t="s">
        <v>169</v>
      </c>
      <c r="D9" s="5" t="s">
        <v>233</v>
      </c>
      <c r="E9" s="5">
        <v>5.4853359687904399</v>
      </c>
      <c r="F9" s="5">
        <v>0.66894341082810305</v>
      </c>
      <c r="G9" s="5">
        <v>0</v>
      </c>
      <c r="H9" s="5">
        <v>2.0268816362441701E-3</v>
      </c>
      <c r="I9">
        <v>7775.5224853381997</v>
      </c>
      <c r="J9">
        <v>0</v>
      </c>
      <c r="K9" t="s">
        <v>30</v>
      </c>
      <c r="L9">
        <v>7775.5224853381997</v>
      </c>
      <c r="M9">
        <v>27775.522485338199</v>
      </c>
      <c r="O9">
        <v>0.7</v>
      </c>
      <c r="P9">
        <v>11.7508011374216</v>
      </c>
      <c r="Q9" t="s">
        <v>30</v>
      </c>
      <c r="R9">
        <v>0</v>
      </c>
      <c r="S9" t="s">
        <v>31</v>
      </c>
      <c r="T9">
        <v>102.101889021131</v>
      </c>
      <c r="U9" t="s">
        <v>85</v>
      </c>
      <c r="V9">
        <v>1</v>
      </c>
      <c r="W9">
        <v>4.5789473684210504</v>
      </c>
      <c r="X9" t="e">
        <f>-inf</f>
        <v>#NAME?</v>
      </c>
      <c r="Y9" t="s">
        <v>31</v>
      </c>
      <c r="Z9">
        <v>0</v>
      </c>
      <c r="AA9" s="19">
        <v>3.7987091196609699E-5</v>
      </c>
      <c r="AB9" s="19">
        <v>4.6325720971475297E-6</v>
      </c>
      <c r="AC9">
        <v>0</v>
      </c>
      <c r="AD9">
        <v>292.68170827365799</v>
      </c>
      <c r="AE9" s="19">
        <v>3.7987091196609699E-5</v>
      </c>
      <c r="AF9" s="19">
        <v>4.6325720971475297E-6</v>
      </c>
      <c r="AG9">
        <v>7775.52248554377</v>
      </c>
      <c r="AH9">
        <v>2.58</v>
      </c>
      <c r="AI9">
        <v>380</v>
      </c>
      <c r="AJ9">
        <v>0</v>
      </c>
      <c r="AK9">
        <v>6</v>
      </c>
      <c r="AL9">
        <v>14</v>
      </c>
    </row>
    <row r="10" spans="1:38" x14ac:dyDescent="0.3">
      <c r="A10" s="5">
        <v>16</v>
      </c>
      <c r="B10" s="5" t="s">
        <v>161</v>
      </c>
      <c r="C10" s="5" t="s">
        <v>171</v>
      </c>
      <c r="D10" s="5" t="s">
        <v>233</v>
      </c>
      <c r="E10" s="5">
        <v>18.9735100416747</v>
      </c>
      <c r="F10" s="5">
        <v>2.3138426880091099</v>
      </c>
      <c r="G10" s="5">
        <v>0</v>
      </c>
      <c r="H10" s="5">
        <v>8.3363672929299905E-4</v>
      </c>
      <c r="I10">
        <v>2681.2146501166199</v>
      </c>
      <c r="J10">
        <v>0</v>
      </c>
      <c r="K10" t="s">
        <v>30</v>
      </c>
      <c r="L10">
        <v>2681.2146501166199</v>
      </c>
      <c r="M10">
        <v>22681.214650116599</v>
      </c>
      <c r="O10">
        <v>0.7</v>
      </c>
      <c r="P10">
        <v>14.015672069673</v>
      </c>
      <c r="Q10" t="s">
        <v>30</v>
      </c>
      <c r="R10">
        <v>0</v>
      </c>
      <c r="S10" t="s">
        <v>31</v>
      </c>
      <c r="T10">
        <v>121.781194105743</v>
      </c>
      <c r="U10" t="s">
        <v>85</v>
      </c>
      <c r="V10">
        <v>1</v>
      </c>
      <c r="W10">
        <v>1.57894736842105</v>
      </c>
      <c r="X10" t="e">
        <f>-inf</f>
        <v>#NAME?</v>
      </c>
      <c r="Y10" t="s">
        <v>31</v>
      </c>
      <c r="Z10">
        <v>0</v>
      </c>
      <c r="AA10">
        <v>1.3139549890356399E-4</v>
      </c>
      <c r="AB10" s="19">
        <v>1.6023841329703E-5</v>
      </c>
      <c r="AC10">
        <v>0</v>
      </c>
      <c r="AD10">
        <v>120.37714370990901</v>
      </c>
      <c r="AE10">
        <v>1.3139549890356399E-4</v>
      </c>
      <c r="AF10" s="19">
        <v>1.6023841329703E-5</v>
      </c>
      <c r="AG10">
        <v>2681.2146502923201</v>
      </c>
      <c r="AH10">
        <v>2.58</v>
      </c>
      <c r="AI10">
        <v>380</v>
      </c>
      <c r="AJ10">
        <v>0</v>
      </c>
      <c r="AK10">
        <v>6</v>
      </c>
      <c r="AL10">
        <v>16</v>
      </c>
    </row>
    <row r="11" spans="1:38" x14ac:dyDescent="0.3">
      <c r="A11" s="5">
        <v>17</v>
      </c>
      <c r="B11" s="5" t="s">
        <v>162</v>
      </c>
      <c r="C11" s="5" t="s">
        <v>163</v>
      </c>
      <c r="D11" s="5" t="s">
        <v>233</v>
      </c>
      <c r="E11" s="5">
        <v>17.392824700093499</v>
      </c>
      <c r="F11" s="5">
        <v>2.1210761829382299</v>
      </c>
      <c r="G11" s="5">
        <v>0</v>
      </c>
      <c r="H11" s="5">
        <v>1.0700731721571899E-3</v>
      </c>
      <c r="I11">
        <v>3172.7706693046598</v>
      </c>
      <c r="J11">
        <v>0</v>
      </c>
      <c r="K11" t="s">
        <v>30</v>
      </c>
      <c r="L11">
        <v>3172.7706693046698</v>
      </c>
      <c r="M11">
        <v>23172.770669304598</v>
      </c>
      <c r="O11">
        <v>0.7</v>
      </c>
      <c r="P11">
        <v>15.203496001067601</v>
      </c>
      <c r="Q11" t="s">
        <v>30</v>
      </c>
      <c r="R11">
        <v>0</v>
      </c>
      <c r="S11" t="s">
        <v>31</v>
      </c>
      <c r="T11">
        <v>132.102113147907</v>
      </c>
      <c r="U11" t="s">
        <v>85</v>
      </c>
      <c r="V11">
        <v>1</v>
      </c>
      <c r="W11">
        <v>1.8684210526315701</v>
      </c>
      <c r="X11" t="e">
        <f>-inf</f>
        <v>#NAME?</v>
      </c>
      <c r="Y11" t="s">
        <v>31</v>
      </c>
      <c r="Z11">
        <v>0</v>
      </c>
      <c r="AA11">
        <v>1.2044892451588299E-4</v>
      </c>
      <c r="AB11" s="19">
        <v>1.4688893233644199E-5</v>
      </c>
      <c r="AC11">
        <v>0</v>
      </c>
      <c r="AD11">
        <v>154.518566059498</v>
      </c>
      <c r="AE11">
        <v>1.2044892451588299E-4</v>
      </c>
      <c r="AF11" s="19">
        <v>1.4688893233644199E-5</v>
      </c>
      <c r="AG11">
        <v>3172.7706694635399</v>
      </c>
      <c r="AH11">
        <v>2.58</v>
      </c>
      <c r="AI11">
        <v>380</v>
      </c>
      <c r="AJ11">
        <v>0</v>
      </c>
      <c r="AK11">
        <v>7</v>
      </c>
      <c r="AL11">
        <v>8</v>
      </c>
    </row>
    <row r="12" spans="1:38" x14ac:dyDescent="0.3">
      <c r="A12" s="5">
        <v>18</v>
      </c>
      <c r="B12" s="5" t="s">
        <v>162</v>
      </c>
      <c r="C12" s="5" t="s">
        <v>167</v>
      </c>
      <c r="D12" s="5" t="s">
        <v>233</v>
      </c>
      <c r="E12" s="5">
        <v>29.973878505289299</v>
      </c>
      <c r="F12" s="5">
        <v>3.6553510372304001</v>
      </c>
      <c r="G12" s="5">
        <v>0</v>
      </c>
      <c r="H12" s="5">
        <v>5.2824670238332404E-4</v>
      </c>
      <c r="I12">
        <v>1698.1026117405199</v>
      </c>
      <c r="J12">
        <v>0</v>
      </c>
      <c r="K12" t="s">
        <v>30</v>
      </c>
      <c r="L12">
        <v>1698.1026117405199</v>
      </c>
      <c r="M12">
        <v>21698.102611740502</v>
      </c>
      <c r="O12">
        <v>0.7</v>
      </c>
      <c r="P12">
        <v>14.0230194033832</v>
      </c>
      <c r="Q12" t="s">
        <v>30</v>
      </c>
      <c r="R12">
        <v>0</v>
      </c>
      <c r="S12" t="s">
        <v>31</v>
      </c>
      <c r="T12">
        <v>121.845034574347</v>
      </c>
      <c r="U12" t="s">
        <v>85</v>
      </c>
      <c r="V12">
        <v>1</v>
      </c>
      <c r="W12">
        <v>1</v>
      </c>
      <c r="X12" t="e">
        <f>-inf</f>
        <v>#NAME?</v>
      </c>
      <c r="Y12" t="s">
        <v>31</v>
      </c>
      <c r="Z12">
        <v>0</v>
      </c>
      <c r="AA12">
        <v>2.0757533590920601E-4</v>
      </c>
      <c r="AB12" s="19">
        <v>2.53140653547812E-5</v>
      </c>
      <c r="AC12">
        <v>0</v>
      </c>
      <c r="AD12">
        <v>76.278823824152099</v>
      </c>
      <c r="AE12">
        <v>2.0757533590920601E-4</v>
      </c>
      <c r="AF12" s="19">
        <v>2.53140653547812E-5</v>
      </c>
      <c r="AG12">
        <v>1698.10261191278</v>
      </c>
      <c r="AH12">
        <v>2.58</v>
      </c>
      <c r="AI12">
        <v>380</v>
      </c>
      <c r="AJ12">
        <v>0</v>
      </c>
      <c r="AK12">
        <v>7</v>
      </c>
      <c r="AL12">
        <v>12</v>
      </c>
    </row>
    <row r="13" spans="1:38" x14ac:dyDescent="0.3">
      <c r="A13" s="5">
        <v>19</v>
      </c>
      <c r="B13" s="5" t="s">
        <v>162</v>
      </c>
      <c r="C13" s="5" t="s">
        <v>170</v>
      </c>
      <c r="D13" s="5" t="s">
        <v>233</v>
      </c>
      <c r="E13" s="5">
        <v>12.4675999243204</v>
      </c>
      <c r="F13" s="5">
        <v>1.5204390151610201</v>
      </c>
      <c r="G13" s="5">
        <v>0</v>
      </c>
      <c r="H13" s="5">
        <v>8.7889440740805604E-4</v>
      </c>
      <c r="I13">
        <v>3396.2052234810499</v>
      </c>
      <c r="J13">
        <v>0</v>
      </c>
      <c r="K13" t="s">
        <v>30</v>
      </c>
      <c r="L13">
        <v>3396.2052234810499</v>
      </c>
      <c r="M13">
        <v>23396.205223481</v>
      </c>
      <c r="O13">
        <v>0.7</v>
      </c>
      <c r="P13">
        <v>11.6657172425325</v>
      </c>
      <c r="Q13" t="s">
        <v>30</v>
      </c>
      <c r="R13">
        <v>0</v>
      </c>
      <c r="S13" t="s">
        <v>31</v>
      </c>
      <c r="T13">
        <v>101.36260101073501</v>
      </c>
      <c r="U13" t="s">
        <v>85</v>
      </c>
      <c r="V13">
        <v>1</v>
      </c>
      <c r="W13">
        <v>2</v>
      </c>
      <c r="X13" t="e">
        <f>-inf</f>
        <v>#NAME?</v>
      </c>
      <c r="Y13" t="s">
        <v>31</v>
      </c>
      <c r="Z13">
        <v>0</v>
      </c>
      <c r="AA13" s="19">
        <v>8.6340719697509694E-5</v>
      </c>
      <c r="AB13" s="19">
        <v>1.05293560606719E-5</v>
      </c>
      <c r="AC13">
        <v>0</v>
      </c>
      <c r="AD13">
        <v>126.912352429723</v>
      </c>
      <c r="AE13" s="19">
        <v>8.6340719697509694E-5</v>
      </c>
      <c r="AF13" s="19">
        <v>1.05293560606719E-5</v>
      </c>
      <c r="AG13">
        <v>3396.20522368811</v>
      </c>
      <c r="AH13">
        <v>2.58</v>
      </c>
      <c r="AI13">
        <v>380</v>
      </c>
      <c r="AJ13">
        <v>0</v>
      </c>
      <c r="AK13">
        <v>7</v>
      </c>
      <c r="AL13">
        <v>15</v>
      </c>
    </row>
    <row r="14" spans="1:38" x14ac:dyDescent="0.3">
      <c r="A14" s="5">
        <v>2</v>
      </c>
      <c r="B14" s="5" t="s">
        <v>72</v>
      </c>
      <c r="C14" s="5" t="s">
        <v>171</v>
      </c>
      <c r="D14" s="5" t="s">
        <v>233</v>
      </c>
      <c r="E14" s="5">
        <v>55.344104063602501</v>
      </c>
      <c r="F14" s="5">
        <v>6.7492809833661598</v>
      </c>
      <c r="G14" s="5">
        <v>0</v>
      </c>
      <c r="H14" s="5">
        <v>3.2692142379930097E-4</v>
      </c>
      <c r="I14">
        <v>983.11203837609401</v>
      </c>
      <c r="J14">
        <v>0</v>
      </c>
      <c r="K14" t="s">
        <v>30</v>
      </c>
      <c r="L14">
        <v>983.11203837609401</v>
      </c>
      <c r="M14">
        <v>20983.112038375999</v>
      </c>
      <c r="O14">
        <v>0.7</v>
      </c>
      <c r="P14">
        <v>14.9902555901305</v>
      </c>
      <c r="Q14" t="s">
        <v>30</v>
      </c>
      <c r="R14">
        <v>0</v>
      </c>
      <c r="S14" t="s">
        <v>31</v>
      </c>
      <c r="T14">
        <v>130.24928213513601</v>
      </c>
      <c r="U14" t="s">
        <v>85</v>
      </c>
      <c r="V14">
        <v>1</v>
      </c>
      <c r="W14">
        <v>0.57894736842105199</v>
      </c>
      <c r="X14" t="e">
        <f>-inf</f>
        <v>#NAME?</v>
      </c>
      <c r="Y14" t="s">
        <v>31</v>
      </c>
      <c r="Z14">
        <v>0</v>
      </c>
      <c r="AA14">
        <v>3.83269418723009E-4</v>
      </c>
      <c r="AB14" s="19">
        <v>4.6740173015001099E-5</v>
      </c>
      <c r="AC14">
        <v>0</v>
      </c>
      <c r="AD14">
        <v>47.207453596619096</v>
      </c>
      <c r="AE14">
        <v>3.83269418723009E-4</v>
      </c>
      <c r="AF14" s="19">
        <v>4.6740173015001099E-5</v>
      </c>
      <c r="AG14">
        <v>983.11203853726499</v>
      </c>
      <c r="AH14">
        <v>2.58</v>
      </c>
      <c r="AI14">
        <v>380</v>
      </c>
      <c r="AJ14">
        <v>0</v>
      </c>
      <c r="AK14">
        <v>0</v>
      </c>
      <c r="AL14">
        <v>16</v>
      </c>
    </row>
    <row r="15" spans="1:38" x14ac:dyDescent="0.3">
      <c r="A15" s="5">
        <v>20</v>
      </c>
      <c r="B15" s="5" t="s">
        <v>163</v>
      </c>
      <c r="C15" s="5" t="s">
        <v>166</v>
      </c>
      <c r="D15" s="5" t="s">
        <v>233</v>
      </c>
      <c r="E15" s="5">
        <v>7.6482763638813296</v>
      </c>
      <c r="F15" s="5">
        <v>0.93271662974162595</v>
      </c>
      <c r="G15" s="5">
        <v>0</v>
      </c>
      <c r="H15" s="5">
        <v>1.88220498771297E-3</v>
      </c>
      <c r="I15">
        <v>6345.5413386093396</v>
      </c>
      <c r="J15">
        <v>0</v>
      </c>
      <c r="K15" t="s">
        <v>30</v>
      </c>
      <c r="L15">
        <v>6345.5413386093396</v>
      </c>
      <c r="M15">
        <v>26345.541338609299</v>
      </c>
      <c r="O15">
        <v>0.7</v>
      </c>
      <c r="P15">
        <v>13.371093093660001</v>
      </c>
      <c r="Q15" t="s">
        <v>30</v>
      </c>
      <c r="R15">
        <v>0</v>
      </c>
      <c r="S15" t="s">
        <v>31</v>
      </c>
      <c r="T15">
        <v>116.180492476588</v>
      </c>
      <c r="U15" t="s">
        <v>85</v>
      </c>
      <c r="V15">
        <v>1</v>
      </c>
      <c r="W15">
        <v>3.73684210526315</v>
      </c>
      <c r="X15" t="e">
        <f>-inf</f>
        <v>#NAME?</v>
      </c>
      <c r="Y15" t="s">
        <v>31</v>
      </c>
      <c r="Z15">
        <v>0</v>
      </c>
      <c r="AA15" s="19">
        <v>5.2965902796962098E-5</v>
      </c>
      <c r="AB15" s="19">
        <v>6.4592564386539203E-6</v>
      </c>
      <c r="AC15">
        <v>0</v>
      </c>
      <c r="AD15">
        <v>271.79040022575401</v>
      </c>
      <c r="AE15" s="19">
        <v>5.2965902796962098E-5</v>
      </c>
      <c r="AF15" s="19">
        <v>6.4592564386539203E-6</v>
      </c>
      <c r="AG15">
        <v>6345.5413388343404</v>
      </c>
      <c r="AH15">
        <v>2.58</v>
      </c>
      <c r="AI15">
        <v>380</v>
      </c>
      <c r="AJ15">
        <v>0</v>
      </c>
      <c r="AK15">
        <v>8</v>
      </c>
      <c r="AL15">
        <v>11</v>
      </c>
    </row>
    <row r="16" spans="1:38" x14ac:dyDescent="0.3">
      <c r="A16" s="5">
        <v>21</v>
      </c>
      <c r="B16" s="5" t="s">
        <v>163</v>
      </c>
      <c r="C16" s="5" t="s">
        <v>167</v>
      </c>
      <c r="D16" s="5" t="s">
        <v>233</v>
      </c>
      <c r="E16" s="5">
        <v>4.0026234036193804</v>
      </c>
      <c r="F16" s="5">
        <v>0.48812480531943703</v>
      </c>
      <c r="G16" s="5">
        <v>0</v>
      </c>
      <c r="H16" s="5">
        <v>2.2371697370640398E-3</v>
      </c>
      <c r="I16">
        <v>9562.9989187492793</v>
      </c>
      <c r="J16">
        <v>0</v>
      </c>
      <c r="K16" t="s">
        <v>30</v>
      </c>
      <c r="L16">
        <v>9562.9989187492793</v>
      </c>
      <c r="M16">
        <v>29562.998918749199</v>
      </c>
      <c r="O16">
        <v>0.7</v>
      </c>
      <c r="P16">
        <v>10.545653546221001</v>
      </c>
      <c r="Q16" t="s">
        <v>30</v>
      </c>
      <c r="R16">
        <v>0</v>
      </c>
      <c r="S16" t="s">
        <v>31</v>
      </c>
      <c r="T16">
        <v>91.630445910841701</v>
      </c>
      <c r="U16" t="s">
        <v>85</v>
      </c>
      <c r="V16">
        <v>1</v>
      </c>
      <c r="W16">
        <v>5.6315789473684204</v>
      </c>
      <c r="X16" t="e">
        <f>-inf</f>
        <v>#NAME?</v>
      </c>
      <c r="Y16" t="s">
        <v>31</v>
      </c>
      <c r="Z16">
        <v>0</v>
      </c>
      <c r="AA16" s="19">
        <v>2.7718998640023399E-5</v>
      </c>
      <c r="AB16" s="19">
        <v>3.3803656878077302E-6</v>
      </c>
      <c r="AC16">
        <v>0</v>
      </c>
      <c r="AD16">
        <v>323.04731003204802</v>
      </c>
      <c r="AE16" s="19">
        <v>2.7718998640023399E-5</v>
      </c>
      <c r="AF16" s="19">
        <v>3.3803656878077302E-6</v>
      </c>
      <c r="AG16">
        <v>9562.99891899875</v>
      </c>
      <c r="AH16">
        <v>2.58</v>
      </c>
      <c r="AI16">
        <v>380</v>
      </c>
      <c r="AJ16">
        <v>0</v>
      </c>
      <c r="AK16">
        <v>8</v>
      </c>
      <c r="AL16">
        <v>12</v>
      </c>
    </row>
    <row r="17" spans="1:38" x14ac:dyDescent="0.3">
      <c r="A17" s="5">
        <v>22</v>
      </c>
      <c r="B17" s="5" t="s">
        <v>163</v>
      </c>
      <c r="C17" s="5" t="s">
        <v>170</v>
      </c>
      <c r="D17" s="5" t="s">
        <v>233</v>
      </c>
      <c r="E17" s="5">
        <v>22.0173047272351</v>
      </c>
      <c r="F17" s="5">
        <v>2.68503716185795</v>
      </c>
      <c r="G17" s="5">
        <v>0</v>
      </c>
      <c r="H17" s="5">
        <v>9.6737155435892798E-4</v>
      </c>
      <c r="I17">
        <v>2681.2146501166199</v>
      </c>
      <c r="J17">
        <v>0</v>
      </c>
      <c r="K17" t="s">
        <v>30</v>
      </c>
      <c r="L17">
        <v>2681.2146501166199</v>
      </c>
      <c r="M17">
        <v>22681.214650116599</v>
      </c>
      <c r="O17">
        <v>0.7</v>
      </c>
      <c r="P17">
        <v>16.264113610880901</v>
      </c>
      <c r="Q17" t="s">
        <v>30</v>
      </c>
      <c r="R17">
        <v>0</v>
      </c>
      <c r="S17" t="s">
        <v>31</v>
      </c>
      <c r="T17">
        <v>141.317745360944</v>
      </c>
      <c r="U17" t="s">
        <v>85</v>
      </c>
      <c r="V17">
        <v>1</v>
      </c>
      <c r="W17">
        <v>1.57894736842105</v>
      </c>
      <c r="X17" t="e">
        <f>-inf</f>
        <v>#NAME?</v>
      </c>
      <c r="Y17" t="s">
        <v>31</v>
      </c>
      <c r="Z17">
        <v>0</v>
      </c>
      <c r="AA17">
        <v>1.52474409468387E-4</v>
      </c>
      <c r="AB17" s="19">
        <v>1.85944401790716E-5</v>
      </c>
      <c r="AC17">
        <v>0</v>
      </c>
      <c r="AD17">
        <v>139.68845244942901</v>
      </c>
      <c r="AE17">
        <v>1.52474409468387E-4</v>
      </c>
      <c r="AF17" s="19">
        <v>1.85944401790716E-5</v>
      </c>
      <c r="AG17">
        <v>2681.2146502651299</v>
      </c>
      <c r="AH17">
        <v>2.58</v>
      </c>
      <c r="AI17">
        <v>380</v>
      </c>
      <c r="AJ17">
        <v>0</v>
      </c>
      <c r="AK17">
        <v>8</v>
      </c>
      <c r="AL17">
        <v>15</v>
      </c>
    </row>
    <row r="18" spans="1:38" x14ac:dyDescent="0.3">
      <c r="A18" s="5">
        <v>23</v>
      </c>
      <c r="B18" s="5" t="s">
        <v>165</v>
      </c>
      <c r="C18" s="5" t="s">
        <v>166</v>
      </c>
      <c r="D18" s="5" t="s">
        <v>233</v>
      </c>
      <c r="E18" s="5">
        <v>29.719676399693501</v>
      </c>
      <c r="F18" s="5">
        <v>3.6243507804504298</v>
      </c>
      <c r="G18" s="5">
        <v>0</v>
      </c>
      <c r="H18" s="5">
        <v>5.2376675415119305E-4</v>
      </c>
      <c r="I18">
        <v>1698.1026117405199</v>
      </c>
      <c r="J18">
        <v>0</v>
      </c>
      <c r="K18" t="s">
        <v>30</v>
      </c>
      <c r="L18">
        <v>1698.1026117405199</v>
      </c>
      <c r="M18">
        <v>21698.102611740502</v>
      </c>
      <c r="O18">
        <v>0.7</v>
      </c>
      <c r="P18">
        <v>13.9040931503619</v>
      </c>
      <c r="Q18" t="s">
        <v>30</v>
      </c>
      <c r="R18">
        <v>0</v>
      </c>
      <c r="S18" t="s">
        <v>31</v>
      </c>
      <c r="T18">
        <v>120.811692681681</v>
      </c>
      <c r="U18" t="s">
        <v>85</v>
      </c>
      <c r="V18">
        <v>1</v>
      </c>
      <c r="W18">
        <v>1</v>
      </c>
      <c r="X18" t="e">
        <f>-inf</f>
        <v>#NAME?</v>
      </c>
      <c r="Y18" t="s">
        <v>31</v>
      </c>
      <c r="Z18">
        <v>0</v>
      </c>
      <c r="AA18">
        <v>2.0581493351588299E-4</v>
      </c>
      <c r="AB18" s="19">
        <v>2.50993821360833E-5</v>
      </c>
      <c r="AC18">
        <v>0</v>
      </c>
      <c r="AD18">
        <v>75.631919299432298</v>
      </c>
      <c r="AE18">
        <v>2.0581493351588299E-4</v>
      </c>
      <c r="AF18" s="19">
        <v>2.50993821360833E-5</v>
      </c>
      <c r="AG18">
        <v>1698.10261191425</v>
      </c>
      <c r="AH18">
        <v>2.58</v>
      </c>
      <c r="AI18">
        <v>380</v>
      </c>
      <c r="AJ18">
        <v>0</v>
      </c>
      <c r="AK18">
        <v>10</v>
      </c>
      <c r="AL18">
        <v>11</v>
      </c>
    </row>
    <row r="19" spans="1:38" x14ac:dyDescent="0.3">
      <c r="A19" s="5">
        <v>24</v>
      </c>
      <c r="B19" s="5" t="s">
        <v>165</v>
      </c>
      <c r="C19" s="5" t="s">
        <v>170</v>
      </c>
      <c r="D19" s="5" t="s">
        <v>233</v>
      </c>
      <c r="E19" s="5">
        <v>15.7084561807151</v>
      </c>
      <c r="F19" s="5">
        <v>1.91566538789209</v>
      </c>
      <c r="G19" s="5">
        <v>0</v>
      </c>
      <c r="H19" s="5">
        <v>6.9018046760829495E-4</v>
      </c>
      <c r="I19">
        <v>2681.2146501166199</v>
      </c>
      <c r="J19">
        <v>0</v>
      </c>
      <c r="K19" t="s">
        <v>30</v>
      </c>
      <c r="L19">
        <v>2681.2146501166199</v>
      </c>
      <c r="M19">
        <v>22681.214650116599</v>
      </c>
      <c r="O19">
        <v>0.7</v>
      </c>
      <c r="P19">
        <v>11.603787072932001</v>
      </c>
      <c r="Q19" t="s">
        <v>30</v>
      </c>
      <c r="R19">
        <v>0</v>
      </c>
      <c r="S19" t="s">
        <v>31</v>
      </c>
      <c r="T19">
        <v>100.82449409958301</v>
      </c>
      <c r="U19" t="s">
        <v>85</v>
      </c>
      <c r="V19">
        <v>1</v>
      </c>
      <c r="W19">
        <v>1.57894736842105</v>
      </c>
      <c r="X19" t="e">
        <f>-inf</f>
        <v>#NAME?</v>
      </c>
      <c r="Y19" t="s">
        <v>31</v>
      </c>
      <c r="Z19">
        <v>0</v>
      </c>
      <c r="AA19">
        <v>1.08784322581129E-4</v>
      </c>
      <c r="AB19" s="19">
        <v>1.32663808025768E-5</v>
      </c>
      <c r="AC19">
        <v>0</v>
      </c>
      <c r="AD19">
        <v>99.662059522637804</v>
      </c>
      <c r="AE19">
        <v>1.08784322581129E-4</v>
      </c>
      <c r="AF19" s="19">
        <v>1.32663808025768E-5</v>
      </c>
      <c r="AG19">
        <v>2681.21465032478</v>
      </c>
      <c r="AH19">
        <v>2.58</v>
      </c>
      <c r="AI19">
        <v>380</v>
      </c>
      <c r="AJ19">
        <v>0</v>
      </c>
      <c r="AK19">
        <v>10</v>
      </c>
      <c r="AL19">
        <v>15</v>
      </c>
    </row>
    <row r="20" spans="1:38" x14ac:dyDescent="0.3">
      <c r="A20" s="5">
        <v>25</v>
      </c>
      <c r="B20" s="5" t="s">
        <v>165</v>
      </c>
      <c r="C20" s="5" t="s">
        <v>173</v>
      </c>
      <c r="D20" s="5" t="s">
        <v>233</v>
      </c>
      <c r="E20" s="5">
        <v>17.0554302870882</v>
      </c>
      <c r="F20" s="5">
        <v>2.0799305228156402</v>
      </c>
      <c r="G20" s="5">
        <v>0</v>
      </c>
      <c r="H20" s="5">
        <v>7.4936229985825005E-4</v>
      </c>
      <c r="I20">
        <v>2681.2146501166199</v>
      </c>
      <c r="J20">
        <v>0</v>
      </c>
      <c r="K20" t="s">
        <v>30</v>
      </c>
      <c r="L20">
        <v>2681.2146501166199</v>
      </c>
      <c r="M20">
        <v>22681.214650116599</v>
      </c>
      <c r="O20">
        <v>0.7</v>
      </c>
      <c r="P20">
        <v>12.5987926001012</v>
      </c>
      <c r="Q20" t="s">
        <v>30</v>
      </c>
      <c r="R20">
        <v>0</v>
      </c>
      <c r="S20" t="s">
        <v>31</v>
      </c>
      <c r="T20">
        <v>109.47002751661201</v>
      </c>
      <c r="U20" t="s">
        <v>85</v>
      </c>
      <c r="V20">
        <v>1</v>
      </c>
      <c r="W20">
        <v>1.57894736842105</v>
      </c>
      <c r="X20" t="e">
        <f>-inf</f>
        <v>#NAME?</v>
      </c>
      <c r="Y20" t="s">
        <v>31</v>
      </c>
      <c r="Z20">
        <v>0</v>
      </c>
      <c r="AA20">
        <v>1.18112398110029E-4</v>
      </c>
      <c r="AB20" s="19">
        <v>1.44039509890279E-5</v>
      </c>
      <c r="AC20">
        <v>0</v>
      </c>
      <c r="AD20">
        <v>108.207916099531</v>
      </c>
      <c r="AE20">
        <v>1.18112398110029E-4</v>
      </c>
      <c r="AF20" s="19">
        <v>1.44039509890279E-5</v>
      </c>
      <c r="AG20">
        <v>2681.21465030834</v>
      </c>
      <c r="AH20">
        <v>2.58</v>
      </c>
      <c r="AI20">
        <v>380</v>
      </c>
      <c r="AJ20">
        <v>0</v>
      </c>
      <c r="AK20">
        <v>10</v>
      </c>
      <c r="AL20">
        <v>18</v>
      </c>
    </row>
    <row r="21" spans="1:38" x14ac:dyDescent="0.3">
      <c r="A21" s="5">
        <v>26</v>
      </c>
      <c r="B21" s="5" t="s">
        <v>166</v>
      </c>
      <c r="C21" s="5" t="s">
        <v>170</v>
      </c>
      <c r="D21" s="5" t="s">
        <v>233</v>
      </c>
      <c r="E21" s="5">
        <v>6.05673247853563</v>
      </c>
      <c r="F21" s="5">
        <v>0.73862591201654004</v>
      </c>
      <c r="G21" s="5">
        <v>0</v>
      </c>
      <c r="H21" s="5">
        <v>1.96399446352491E-3</v>
      </c>
      <c r="I21">
        <v>7283.9664661501502</v>
      </c>
      <c r="J21">
        <v>0</v>
      </c>
      <c r="K21" t="s">
        <v>30</v>
      </c>
      <c r="L21">
        <v>7283.9664661501502</v>
      </c>
      <c r="M21">
        <v>27283.966466150101</v>
      </c>
      <c r="O21">
        <v>0.7</v>
      </c>
      <c r="P21">
        <v>12.1546089746258</v>
      </c>
      <c r="Q21" t="s">
        <v>30</v>
      </c>
      <c r="R21">
        <v>0</v>
      </c>
      <c r="S21" t="s">
        <v>31</v>
      </c>
      <c r="T21">
        <v>105.610547069031</v>
      </c>
      <c r="U21" t="s">
        <v>85</v>
      </c>
      <c r="V21">
        <v>1</v>
      </c>
      <c r="W21">
        <v>4.2894736842105203</v>
      </c>
      <c r="X21" t="e">
        <f>-inf</f>
        <v>#NAME?</v>
      </c>
      <c r="Y21" t="s">
        <v>31</v>
      </c>
      <c r="Z21">
        <v>0</v>
      </c>
      <c r="AA21" s="19">
        <v>4.1944130737781302E-5</v>
      </c>
      <c r="AB21" s="19">
        <v>5.1151378948513799E-6</v>
      </c>
      <c r="AC21">
        <v>0</v>
      </c>
      <c r="AD21">
        <v>283.60080053299703</v>
      </c>
      <c r="AE21" s="19">
        <v>4.1944130737781302E-5</v>
      </c>
      <c r="AF21" s="19">
        <v>5.1151378948513799E-6</v>
      </c>
      <c r="AG21">
        <v>7283.9664665306</v>
      </c>
      <c r="AH21">
        <v>2.58</v>
      </c>
      <c r="AI21">
        <v>380</v>
      </c>
      <c r="AJ21">
        <v>0</v>
      </c>
      <c r="AK21">
        <v>11</v>
      </c>
      <c r="AL21">
        <v>15</v>
      </c>
    </row>
    <row r="22" spans="1:38" x14ac:dyDescent="0.3">
      <c r="A22" s="5">
        <v>27</v>
      </c>
      <c r="B22" s="5" t="s">
        <v>166</v>
      </c>
      <c r="C22" s="5" t="s">
        <v>173</v>
      </c>
      <c r="D22" s="5" t="s">
        <v>233</v>
      </c>
      <c r="E22" s="5">
        <v>6.5762405052638302</v>
      </c>
      <c r="F22" s="5">
        <v>0.80198054942241803</v>
      </c>
      <c r="G22" s="5">
        <v>0</v>
      </c>
      <c r="H22" s="5">
        <v>2.4299808054571198E-3</v>
      </c>
      <c r="I22">
        <v>7775.5224853381997</v>
      </c>
      <c r="J22">
        <v>0</v>
      </c>
      <c r="K22" t="s">
        <v>30</v>
      </c>
      <c r="L22">
        <v>7775.5224853381997</v>
      </c>
      <c r="M22">
        <v>27775.522485338199</v>
      </c>
      <c r="O22">
        <v>0.7</v>
      </c>
      <c r="P22">
        <v>14.0877595919165</v>
      </c>
      <c r="Q22" t="s">
        <v>30</v>
      </c>
      <c r="R22">
        <v>0</v>
      </c>
      <c r="S22" t="s">
        <v>31</v>
      </c>
      <c r="T22">
        <v>122.40755754342101</v>
      </c>
      <c r="U22" t="s">
        <v>85</v>
      </c>
      <c r="V22">
        <v>1</v>
      </c>
      <c r="W22">
        <v>4.5789473684210504</v>
      </c>
      <c r="X22" t="e">
        <f>-inf</f>
        <v>#NAME?</v>
      </c>
      <c r="Y22" t="s">
        <v>31</v>
      </c>
      <c r="Z22">
        <v>0</v>
      </c>
      <c r="AA22" s="19">
        <v>4.5541831753904598E-5</v>
      </c>
      <c r="AB22" s="19">
        <v>5.5538819212078799E-6</v>
      </c>
      <c r="AC22">
        <v>0</v>
      </c>
      <c r="AD22">
        <v>350.88922830800902</v>
      </c>
      <c r="AE22" s="19">
        <v>4.5541831753904598E-5</v>
      </c>
      <c r="AF22" s="19">
        <v>5.5538819212078799E-6</v>
      </c>
      <c r="AG22">
        <v>7775.5224855096603</v>
      </c>
      <c r="AH22">
        <v>2.58</v>
      </c>
      <c r="AI22">
        <v>380</v>
      </c>
      <c r="AJ22">
        <v>0</v>
      </c>
      <c r="AK22">
        <v>11</v>
      </c>
      <c r="AL22">
        <v>18</v>
      </c>
    </row>
    <row r="23" spans="1:38" x14ac:dyDescent="0.3">
      <c r="A23" s="5">
        <v>28</v>
      </c>
      <c r="B23" s="5" t="s">
        <v>168</v>
      </c>
      <c r="C23" s="5" t="s">
        <v>172</v>
      </c>
      <c r="D23" s="5" t="s">
        <v>233</v>
      </c>
      <c r="E23" s="5">
        <v>30.986214562404498</v>
      </c>
      <c r="F23" s="5">
        <v>3.77880665395177</v>
      </c>
      <c r="G23" s="5">
        <v>0</v>
      </c>
      <c r="H23" s="5">
        <v>7.3215079035340695E-4</v>
      </c>
      <c r="I23">
        <v>1966.2240767521801</v>
      </c>
      <c r="J23">
        <v>0</v>
      </c>
      <c r="K23" t="s">
        <v>30</v>
      </c>
      <c r="L23">
        <v>1966.2240767521801</v>
      </c>
      <c r="M23">
        <v>21966.2240767521</v>
      </c>
      <c r="O23">
        <v>0.7</v>
      </c>
      <c r="P23">
        <v>16.785573962034601</v>
      </c>
      <c r="Q23" t="s">
        <v>30</v>
      </c>
      <c r="R23">
        <v>0</v>
      </c>
      <c r="S23" t="s">
        <v>31</v>
      </c>
      <c r="T23">
        <v>145.84867787182199</v>
      </c>
      <c r="U23" t="s">
        <v>85</v>
      </c>
      <c r="V23">
        <v>1</v>
      </c>
      <c r="W23">
        <v>1.1578947368421</v>
      </c>
      <c r="X23" t="e">
        <f>-inf</f>
        <v>#NAME?</v>
      </c>
      <c r="Y23" t="s">
        <v>31</v>
      </c>
      <c r="Z23">
        <v>0</v>
      </c>
      <c r="AA23">
        <v>2.1458597342385399E-4</v>
      </c>
      <c r="AB23" s="19">
        <v>2.6169021149250499E-5</v>
      </c>
      <c r="AC23">
        <v>0</v>
      </c>
      <c r="AD23">
        <v>105.722574127032</v>
      </c>
      <c r="AE23">
        <v>2.1458597342385399E-4</v>
      </c>
      <c r="AF23" s="19">
        <v>2.6169021149250499E-5</v>
      </c>
      <c r="AG23">
        <v>1966.2240768960901</v>
      </c>
      <c r="AH23">
        <v>2.58</v>
      </c>
      <c r="AI23">
        <v>380</v>
      </c>
      <c r="AJ23">
        <v>0</v>
      </c>
      <c r="AK23">
        <v>13</v>
      </c>
      <c r="AL23">
        <v>17</v>
      </c>
    </row>
    <row r="24" spans="1:38" x14ac:dyDescent="0.3">
      <c r="A24" s="5">
        <v>3</v>
      </c>
      <c r="B24" s="5" t="s">
        <v>156</v>
      </c>
      <c r="C24" s="5" t="s">
        <v>158</v>
      </c>
      <c r="D24" s="5" t="s">
        <v>233</v>
      </c>
      <c r="E24" s="5">
        <v>18.8980887958915</v>
      </c>
      <c r="F24" s="5">
        <v>2.3046449751087201</v>
      </c>
      <c r="G24" s="5">
        <v>0</v>
      </c>
      <c r="H24" s="5">
        <v>2.9974658692947598E-3</v>
      </c>
      <c r="I24">
        <v>5094.3078352215798</v>
      </c>
      <c r="J24">
        <v>0</v>
      </c>
      <c r="K24" t="s">
        <v>30</v>
      </c>
      <c r="L24">
        <v>5094.3078352215798</v>
      </c>
      <c r="M24">
        <v>25094.307835221502</v>
      </c>
      <c r="O24">
        <v>0.7</v>
      </c>
      <c r="P24">
        <v>26.523921402919001</v>
      </c>
      <c r="Q24" t="s">
        <v>30</v>
      </c>
      <c r="R24">
        <v>0</v>
      </c>
      <c r="S24" t="s">
        <v>31</v>
      </c>
      <c r="T24">
        <v>230.46449751087201</v>
      </c>
      <c r="U24" t="s">
        <v>85</v>
      </c>
      <c r="V24">
        <v>1</v>
      </c>
      <c r="W24">
        <v>3</v>
      </c>
      <c r="X24" t="e">
        <f>-inf</f>
        <v>#NAME?</v>
      </c>
      <c r="Y24" t="s">
        <v>31</v>
      </c>
      <c r="Z24">
        <v>0</v>
      </c>
      <c r="AA24">
        <v>1.3087319110728201E-4</v>
      </c>
      <c r="AB24" s="19">
        <v>1.5960145256985601E-5</v>
      </c>
      <c r="AC24">
        <v>0</v>
      </c>
      <c r="AD24">
        <v>432.83407152616297</v>
      </c>
      <c r="AE24">
        <v>1.3087319110728201E-4</v>
      </c>
      <c r="AF24" s="19">
        <v>1.5960145256985601E-5</v>
      </c>
      <c r="AG24">
        <v>5094.3078353126502</v>
      </c>
      <c r="AH24">
        <v>2.58</v>
      </c>
      <c r="AI24">
        <v>380</v>
      </c>
      <c r="AJ24">
        <v>0</v>
      </c>
      <c r="AK24">
        <v>1</v>
      </c>
      <c r="AL24">
        <v>3</v>
      </c>
    </row>
    <row r="25" spans="1:38" x14ac:dyDescent="0.3">
      <c r="A25" s="5">
        <v>4</v>
      </c>
      <c r="B25" s="5" t="s">
        <v>156</v>
      </c>
      <c r="C25" s="5" t="s">
        <v>172</v>
      </c>
      <c r="D25" s="5" t="s">
        <v>233</v>
      </c>
      <c r="E25" s="5">
        <v>14.4456595642637</v>
      </c>
      <c r="F25" s="5">
        <v>1.7616658005199699</v>
      </c>
      <c r="G25" s="5">
        <v>0</v>
      </c>
      <c r="H25" s="5">
        <v>2.2912566435154798E-3</v>
      </c>
      <c r="I25">
        <v>5094.3078352215798</v>
      </c>
      <c r="J25">
        <v>0</v>
      </c>
      <c r="K25" t="s">
        <v>30</v>
      </c>
      <c r="L25">
        <v>5094.3078352215798</v>
      </c>
      <c r="M25">
        <v>25094.307835221502</v>
      </c>
      <c r="O25">
        <v>0.7</v>
      </c>
      <c r="P25">
        <v>20.274830065310901</v>
      </c>
      <c r="Q25" t="s">
        <v>30</v>
      </c>
      <c r="R25">
        <v>0</v>
      </c>
      <c r="S25" t="s">
        <v>31</v>
      </c>
      <c r="T25">
        <v>176.16658005199699</v>
      </c>
      <c r="U25" t="s">
        <v>85</v>
      </c>
      <c r="V25">
        <v>1</v>
      </c>
      <c r="W25">
        <v>3</v>
      </c>
      <c r="X25" t="e">
        <f>-inf</f>
        <v>#NAME?</v>
      </c>
      <c r="Y25" t="s">
        <v>31</v>
      </c>
      <c r="Z25">
        <v>0</v>
      </c>
      <c r="AA25">
        <v>1.00039193658336E-4</v>
      </c>
      <c r="AB25" s="19">
        <v>1.21999016656507E-5</v>
      </c>
      <c r="AC25">
        <v>0</v>
      </c>
      <c r="AD25">
        <v>330.85745932363602</v>
      </c>
      <c r="AE25">
        <v>1.00039193658336E-4</v>
      </c>
      <c r="AF25" s="19">
        <v>1.21999016656507E-5</v>
      </c>
      <c r="AG25">
        <v>5094.30783534071</v>
      </c>
      <c r="AH25">
        <v>2.58</v>
      </c>
      <c r="AI25">
        <v>380</v>
      </c>
      <c r="AJ25">
        <v>0</v>
      </c>
      <c r="AK25">
        <v>1</v>
      </c>
      <c r="AL25">
        <v>17</v>
      </c>
    </row>
    <row r="26" spans="1:38" x14ac:dyDescent="0.3">
      <c r="A26" s="5">
        <v>5</v>
      </c>
      <c r="B26" s="5" t="s">
        <v>157</v>
      </c>
      <c r="C26" s="5" t="s">
        <v>162</v>
      </c>
      <c r="D26" s="5" t="s">
        <v>233</v>
      </c>
      <c r="E26" s="5">
        <v>25.071516983645299</v>
      </c>
      <c r="F26" s="5">
        <v>3.0575020711762599</v>
      </c>
      <c r="G26" s="5">
        <v>0</v>
      </c>
      <c r="H26" s="5">
        <v>7.3468205331153505E-4</v>
      </c>
      <c r="I26">
        <v>2189.6586309285699</v>
      </c>
      <c r="J26">
        <v>0</v>
      </c>
      <c r="K26" t="s">
        <v>30</v>
      </c>
      <c r="L26">
        <v>2189.6586309285699</v>
      </c>
      <c r="M26">
        <v>22189.658630928501</v>
      </c>
      <c r="O26">
        <v>0.7</v>
      </c>
      <c r="P26">
        <v>15.1248713060551</v>
      </c>
      <c r="Q26" t="s">
        <v>30</v>
      </c>
      <c r="R26">
        <v>0</v>
      </c>
      <c r="S26" t="s">
        <v>31</v>
      </c>
      <c r="T26">
        <v>131.41894867336501</v>
      </c>
      <c r="U26" t="s">
        <v>85</v>
      </c>
      <c r="V26">
        <v>1</v>
      </c>
      <c r="W26">
        <v>1.2894736842105201</v>
      </c>
      <c r="X26" t="e">
        <f>-inf</f>
        <v>#NAME?</v>
      </c>
      <c r="Y26" t="s">
        <v>31</v>
      </c>
      <c r="Z26">
        <v>0</v>
      </c>
      <c r="AA26">
        <v>1.7362546387566E-4</v>
      </c>
      <c r="AB26" s="19">
        <v>2.1173837058007301E-5</v>
      </c>
      <c r="AC26">
        <v>0</v>
      </c>
      <c r="AD26">
        <v>106.088088498185</v>
      </c>
      <c r="AE26">
        <v>1.7362546387566E-4</v>
      </c>
      <c r="AF26" s="19">
        <v>2.1173837058007301E-5</v>
      </c>
      <c r="AG26">
        <v>2189.6586310882799</v>
      </c>
      <c r="AH26">
        <v>2.58</v>
      </c>
      <c r="AI26">
        <v>380</v>
      </c>
      <c r="AJ26">
        <v>0</v>
      </c>
      <c r="AK26">
        <v>2</v>
      </c>
      <c r="AL26">
        <v>7</v>
      </c>
    </row>
    <row r="27" spans="1:38" x14ac:dyDescent="0.3">
      <c r="A27" s="5">
        <v>6</v>
      </c>
      <c r="B27" s="5" t="s">
        <v>157</v>
      </c>
      <c r="C27" s="5" t="s">
        <v>162</v>
      </c>
      <c r="D27" s="5" t="s">
        <v>233</v>
      </c>
      <c r="E27" s="5">
        <v>16.164507952603401</v>
      </c>
      <c r="F27" s="5">
        <v>1.9712814576345701</v>
      </c>
      <c r="G27" s="5">
        <v>0</v>
      </c>
      <c r="H27" s="5">
        <v>1.1395084608321099E-3</v>
      </c>
      <c r="I27">
        <v>3396.21</v>
      </c>
      <c r="J27">
        <v>0</v>
      </c>
      <c r="K27" t="s">
        <v>30</v>
      </c>
      <c r="L27">
        <v>3396.21</v>
      </c>
      <c r="M27">
        <v>23396.21</v>
      </c>
      <c r="O27">
        <v>0.7</v>
      </c>
      <c r="P27">
        <v>15.1248713060551</v>
      </c>
      <c r="Q27" t="s">
        <v>30</v>
      </c>
      <c r="R27">
        <v>2023</v>
      </c>
      <c r="S27" t="s">
        <v>31</v>
      </c>
      <c r="T27">
        <v>131.41894867336501</v>
      </c>
      <c r="U27" t="s">
        <v>85</v>
      </c>
      <c r="V27">
        <v>1</v>
      </c>
      <c r="W27">
        <v>2.0000028128564802</v>
      </c>
      <c r="X27" t="e">
        <f>-inf</f>
        <v>#NAME?</v>
      </c>
      <c r="Y27" t="s">
        <v>31</v>
      </c>
      <c r="Z27">
        <v>0</v>
      </c>
      <c r="AA27">
        <v>1.1194257584905399E-4</v>
      </c>
      <c r="AB27" s="19">
        <v>1.36515336401286E-5</v>
      </c>
      <c r="AC27">
        <v>0</v>
      </c>
      <c r="AD27">
        <v>164.545021744156</v>
      </c>
      <c r="AE27">
        <v>1.1194257584905399E-4</v>
      </c>
      <c r="AF27" s="19">
        <v>1.36515336401286E-5</v>
      </c>
      <c r="AG27">
        <v>3396.2100001597</v>
      </c>
      <c r="AH27">
        <v>2.58</v>
      </c>
      <c r="AI27">
        <v>380</v>
      </c>
      <c r="AK27">
        <v>2</v>
      </c>
      <c r="AL27">
        <v>7</v>
      </c>
    </row>
    <row r="28" spans="1:38" x14ac:dyDescent="0.3">
      <c r="A28" s="5">
        <v>7</v>
      </c>
      <c r="B28" s="5" t="s">
        <v>157</v>
      </c>
      <c r="C28" s="5" t="s">
        <v>170</v>
      </c>
      <c r="D28" s="5" t="s">
        <v>233</v>
      </c>
      <c r="E28" s="5">
        <v>18.006422020149099</v>
      </c>
      <c r="F28" s="5">
        <v>2.19590512440843</v>
      </c>
      <c r="G28" s="5">
        <v>0</v>
      </c>
      <c r="H28" s="5">
        <v>1.26934965085519E-3</v>
      </c>
      <c r="I28">
        <v>3396.2052234810499</v>
      </c>
      <c r="J28">
        <v>0</v>
      </c>
      <c r="K28" t="s">
        <v>30</v>
      </c>
      <c r="L28">
        <v>3396.2052234810499</v>
      </c>
      <c r="M28">
        <v>23396.205223481</v>
      </c>
      <c r="O28">
        <v>0.7</v>
      </c>
      <c r="P28">
        <v>16.848297115069698</v>
      </c>
      <c r="Q28" t="s">
        <v>30</v>
      </c>
      <c r="R28">
        <v>0</v>
      </c>
      <c r="S28" t="s">
        <v>31</v>
      </c>
      <c r="T28">
        <v>146.39367496056201</v>
      </c>
      <c r="U28" t="s">
        <v>85</v>
      </c>
      <c r="V28">
        <v>1</v>
      </c>
      <c r="W28">
        <v>2</v>
      </c>
      <c r="X28" t="e">
        <f>-inf</f>
        <v>#NAME?</v>
      </c>
      <c r="Y28" t="s">
        <v>31</v>
      </c>
      <c r="Z28">
        <v>0</v>
      </c>
      <c r="AA28">
        <v>1.2469821343593599E-4</v>
      </c>
      <c r="AB28" s="19">
        <v>1.52070991995043E-5</v>
      </c>
      <c r="AC28">
        <v>0</v>
      </c>
      <c r="AD28">
        <v>183.29408958349001</v>
      </c>
      <c r="AE28">
        <v>1.2469821343593599E-4</v>
      </c>
      <c r="AF28" s="19">
        <v>1.52070991995043E-5</v>
      </c>
      <c r="AG28">
        <v>3396.2052236244199</v>
      </c>
      <c r="AH28">
        <v>2.58</v>
      </c>
      <c r="AI28">
        <v>380</v>
      </c>
      <c r="AJ28">
        <v>0</v>
      </c>
      <c r="AK28">
        <v>2</v>
      </c>
      <c r="AL28">
        <v>15</v>
      </c>
    </row>
    <row r="29" spans="1:38" x14ac:dyDescent="0.3">
      <c r="A29" s="5">
        <v>8</v>
      </c>
      <c r="B29" s="5" t="s">
        <v>158</v>
      </c>
      <c r="C29" s="5" t="s">
        <v>161</v>
      </c>
      <c r="D29" s="5" t="s">
        <v>233</v>
      </c>
      <c r="E29" s="5">
        <v>27.780028320199001</v>
      </c>
      <c r="F29" s="5">
        <v>3.3878083317315899</v>
      </c>
      <c r="G29" s="5">
        <v>0</v>
      </c>
      <c r="H29" s="5">
        <v>1.9583384415931999E-3</v>
      </c>
      <c r="I29">
        <v>3396.21</v>
      </c>
      <c r="J29">
        <v>0</v>
      </c>
      <c r="K29" t="s">
        <v>30</v>
      </c>
      <c r="L29">
        <v>3396.21</v>
      </c>
      <c r="M29">
        <v>23396.21</v>
      </c>
      <c r="O29">
        <v>0.7</v>
      </c>
      <c r="P29">
        <v>25.993327755696001</v>
      </c>
      <c r="Q29" t="s">
        <v>30</v>
      </c>
      <c r="R29">
        <v>2024</v>
      </c>
      <c r="S29" t="s">
        <v>31</v>
      </c>
      <c r="T29">
        <v>225.854206429393</v>
      </c>
      <c r="U29" t="s">
        <v>85</v>
      </c>
      <c r="V29">
        <v>1</v>
      </c>
      <c r="W29">
        <v>2.0000028128564802</v>
      </c>
      <c r="X29" t="e">
        <f>-inf</f>
        <v>#NAME?</v>
      </c>
      <c r="Y29" t="s">
        <v>31</v>
      </c>
      <c r="Z29">
        <v>0</v>
      </c>
      <c r="AA29">
        <v>1.92382467591406E-4</v>
      </c>
      <c r="AB29" s="19">
        <v>2.3461276535537299E-5</v>
      </c>
      <c r="AC29">
        <v>0</v>
      </c>
      <c r="AD29">
        <v>282.78407096605798</v>
      </c>
      <c r="AE29">
        <v>1.92382467591406E-4</v>
      </c>
      <c r="AF29" s="19">
        <v>2.3461276535537299E-5</v>
      </c>
      <c r="AG29">
        <v>3396.2100000929199</v>
      </c>
      <c r="AH29">
        <v>2.58</v>
      </c>
      <c r="AI29">
        <v>380</v>
      </c>
      <c r="AK29">
        <v>3</v>
      </c>
      <c r="AL29">
        <v>6</v>
      </c>
    </row>
    <row r="30" spans="1:38" x14ac:dyDescent="0.3">
      <c r="A30" s="5">
        <v>9</v>
      </c>
      <c r="B30" s="5" t="s">
        <v>158</v>
      </c>
      <c r="C30" s="5" t="s">
        <v>164</v>
      </c>
      <c r="D30" s="5" t="s">
        <v>233</v>
      </c>
      <c r="E30" s="5">
        <v>7.1627093379008402</v>
      </c>
      <c r="F30" s="5">
        <v>0.87350113876839597</v>
      </c>
      <c r="G30" s="5">
        <v>0</v>
      </c>
      <c r="H30" s="5">
        <v>2.3226255300740298E-3</v>
      </c>
      <c r="I30">
        <v>7283.9664661501502</v>
      </c>
      <c r="J30">
        <v>0</v>
      </c>
      <c r="K30" t="s">
        <v>30</v>
      </c>
      <c r="L30">
        <v>7283.9664661501502</v>
      </c>
      <c r="M30">
        <v>27283.966466150101</v>
      </c>
      <c r="O30">
        <v>0.7</v>
      </c>
      <c r="P30">
        <v>14.374075709900699</v>
      </c>
      <c r="Q30" t="s">
        <v>30</v>
      </c>
      <c r="R30">
        <v>0</v>
      </c>
      <c r="S30" t="s">
        <v>31</v>
      </c>
      <c r="T30">
        <v>124.895338262498</v>
      </c>
      <c r="U30" t="s">
        <v>85</v>
      </c>
      <c r="V30">
        <v>1</v>
      </c>
      <c r="W30">
        <v>4.2894736842105203</v>
      </c>
      <c r="X30" t="e">
        <f>-inf</f>
        <v>#NAME?</v>
      </c>
      <c r="Y30" t="s">
        <v>31</v>
      </c>
      <c r="Z30">
        <v>0</v>
      </c>
      <c r="AA30" s="19">
        <v>4.96032502624712E-5</v>
      </c>
      <c r="AB30" s="19">
        <v>6.04917686127698E-6</v>
      </c>
      <c r="AC30">
        <v>0</v>
      </c>
      <c r="AD30">
        <v>335.38712654269102</v>
      </c>
      <c r="AE30" s="19">
        <v>4.96032502624712E-5</v>
      </c>
      <c r="AF30" s="19">
        <v>6.04917686127698E-6</v>
      </c>
      <c r="AG30">
        <v>9201.5865301901595</v>
      </c>
      <c r="AH30">
        <v>2.58</v>
      </c>
      <c r="AI30">
        <v>380</v>
      </c>
      <c r="AJ30">
        <v>0</v>
      </c>
      <c r="AK30">
        <v>3</v>
      </c>
      <c r="AL30">
        <v>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N2"/>
  <sheetViews>
    <sheetView tabSelected="1" workbookViewId="0">
      <selection activeCell="A3" sqref="A3:XFD155"/>
    </sheetView>
  </sheetViews>
  <sheetFormatPr defaultRowHeight="14.4" x14ac:dyDescent="0.3"/>
  <cols>
    <col min="1" max="1" width="8.109375" style="5" bestFit="1" customWidth="1"/>
    <col min="2" max="2" width="7.44140625" style="5" bestFit="1" customWidth="1"/>
    <col min="3" max="3" width="9" style="5" bestFit="1" customWidth="1"/>
    <col min="4" max="4" width="8.88671875" style="5" bestFit="1" customWidth="1"/>
    <col min="5" max="5" width="8.88671875" style="8" bestFit="1" customWidth="1"/>
    <col min="6" max="6" width="13.5546875" style="6" bestFit="1" customWidth="1"/>
    <col min="7" max="7" width="13.5546875" style="5" bestFit="1" customWidth="1"/>
    <col min="8" max="9" width="13.5546875" style="8" bestFit="1" customWidth="1"/>
    <col min="10" max="12" width="13.5546875" style="6" bestFit="1" customWidth="1"/>
    <col min="13" max="14" width="13.5546875" style="5" bestFit="1" customWidth="1"/>
    <col min="15" max="16" width="13.5546875" style="6" bestFit="1" customWidth="1"/>
    <col min="17" max="17" width="13.5546875" style="5" bestFit="1" customWidth="1"/>
    <col min="18" max="18" width="13.5546875" style="8" bestFit="1" customWidth="1"/>
    <col min="19" max="19" width="13.5546875" style="6" bestFit="1" customWidth="1"/>
    <col min="20" max="20" width="13.5546875" style="5" bestFit="1" customWidth="1"/>
    <col min="21" max="22" width="13.5546875" style="6" bestFit="1" customWidth="1"/>
    <col min="23" max="23" width="13.5546875" style="8" bestFit="1" customWidth="1"/>
    <col min="24" max="24" width="13.5546875" style="6" bestFit="1" customWidth="1"/>
    <col min="25" max="25" width="13.5546875" style="5" bestFit="1" customWidth="1"/>
    <col min="26" max="32" width="13.5546875" style="6" bestFit="1" customWidth="1"/>
    <col min="33" max="34" width="13.5546875" style="5" bestFit="1" customWidth="1"/>
    <col min="35" max="37" width="13.5546875" style="6" bestFit="1" customWidth="1"/>
    <col min="38" max="38" width="13.5546875" style="8" bestFit="1" customWidth="1"/>
    <col min="39" max="39" width="13.5546875" style="6" bestFit="1" customWidth="1"/>
  </cols>
  <sheetData>
    <row r="1" spans="1:40" ht="18.75" customHeight="1" x14ac:dyDescent="0.3">
      <c r="A1" s="1" t="s">
        <v>0</v>
      </c>
      <c r="B1" s="1" t="s">
        <v>1</v>
      </c>
      <c r="C1" s="1" t="s">
        <v>75</v>
      </c>
      <c r="D1" s="1" t="s">
        <v>2</v>
      </c>
      <c r="E1" s="13" t="s">
        <v>37</v>
      </c>
      <c r="F1" s="14" t="s">
        <v>43</v>
      </c>
      <c r="G1" s="1" t="s">
        <v>33</v>
      </c>
      <c r="H1" s="13" t="s">
        <v>38</v>
      </c>
      <c r="I1" s="13" t="s">
        <v>44</v>
      </c>
      <c r="J1" s="14" t="s">
        <v>234</v>
      </c>
      <c r="K1" s="14" t="s">
        <v>45</v>
      </c>
      <c r="L1" s="14" t="s">
        <v>46</v>
      </c>
      <c r="M1" s="1" t="s">
        <v>15</v>
      </c>
      <c r="N1" s="1" t="s">
        <v>76</v>
      </c>
      <c r="O1" s="14" t="s">
        <v>77</v>
      </c>
      <c r="P1" s="14" t="s">
        <v>16</v>
      </c>
      <c r="Q1" s="1" t="s">
        <v>17</v>
      </c>
      <c r="R1" s="13" t="s">
        <v>3</v>
      </c>
      <c r="S1" s="14" t="s">
        <v>18</v>
      </c>
      <c r="T1" s="1" t="s">
        <v>19</v>
      </c>
      <c r="U1" s="14" t="s">
        <v>23</v>
      </c>
      <c r="V1" s="14" t="s">
        <v>24</v>
      </c>
      <c r="W1" s="13" t="s">
        <v>25</v>
      </c>
      <c r="X1" s="14" t="s">
        <v>21</v>
      </c>
      <c r="Y1" s="1" t="s">
        <v>42</v>
      </c>
      <c r="Z1" s="14" t="s">
        <v>50</v>
      </c>
      <c r="AA1" s="14" t="s">
        <v>51</v>
      </c>
      <c r="AB1" s="14" t="s">
        <v>52</v>
      </c>
      <c r="AC1" s="14" t="s">
        <v>47</v>
      </c>
      <c r="AD1" s="14" t="s">
        <v>53</v>
      </c>
      <c r="AE1" s="14" t="s">
        <v>54</v>
      </c>
      <c r="AF1" s="14" t="s">
        <v>55</v>
      </c>
      <c r="AG1" s="1" t="s">
        <v>56</v>
      </c>
      <c r="AH1" s="1" t="s">
        <v>57</v>
      </c>
      <c r="AI1" s="14" t="s">
        <v>58</v>
      </c>
      <c r="AJ1" s="14" t="s">
        <v>59</v>
      </c>
      <c r="AK1" s="14" t="s">
        <v>60</v>
      </c>
      <c r="AL1" s="13" t="s">
        <v>78</v>
      </c>
      <c r="AM1" s="14" t="s">
        <v>61</v>
      </c>
      <c r="AN1" t="s">
        <v>28</v>
      </c>
    </row>
    <row r="2" spans="1:40" ht="19.5" customHeight="1" x14ac:dyDescent="0.3">
      <c r="A2" s="1" t="s">
        <v>155</v>
      </c>
      <c r="B2" s="1" t="s">
        <v>72</v>
      </c>
      <c r="C2" s="1" t="s">
        <v>98</v>
      </c>
      <c r="D2" s="1"/>
      <c r="E2" s="4">
        <v>3516.42</v>
      </c>
      <c r="F2" s="2">
        <v>0</v>
      </c>
      <c r="G2" s="1" t="s">
        <v>30</v>
      </c>
      <c r="H2" s="4">
        <v>3516.42</v>
      </c>
      <c r="I2" s="4" t="s">
        <v>31</v>
      </c>
      <c r="J2" s="2"/>
      <c r="K2" s="2">
        <v>0</v>
      </c>
      <c r="L2" s="2">
        <v>1</v>
      </c>
      <c r="M2" s="15"/>
      <c r="N2" s="1" t="e">
        <f>-inf</f>
        <v>#NAME?</v>
      </c>
      <c r="O2" s="2" t="s">
        <v>31</v>
      </c>
      <c r="P2" s="2">
        <v>0</v>
      </c>
      <c r="Q2" s="1">
        <v>1</v>
      </c>
      <c r="R2" s="4" t="s">
        <v>114</v>
      </c>
      <c r="S2" s="2">
        <v>51.795290199536602</v>
      </c>
      <c r="T2" s="1">
        <v>0</v>
      </c>
      <c r="U2" s="2" t="s">
        <v>30</v>
      </c>
      <c r="V2" s="2">
        <v>0</v>
      </c>
      <c r="W2" s="4" t="s">
        <v>31</v>
      </c>
      <c r="X2" s="2">
        <v>274.40821432951901</v>
      </c>
      <c r="Y2" s="1">
        <v>0.52984491703434</v>
      </c>
      <c r="Z2" s="2" t="s">
        <v>32</v>
      </c>
      <c r="AA2" s="2">
        <v>0</v>
      </c>
      <c r="AB2" s="2">
        <v>0</v>
      </c>
      <c r="AC2" s="2">
        <v>0</v>
      </c>
      <c r="AD2" s="2">
        <v>0</v>
      </c>
      <c r="AE2" s="2">
        <v>0</v>
      </c>
      <c r="AF2" s="2">
        <v>1</v>
      </c>
      <c r="AG2" s="1">
        <v>0</v>
      </c>
      <c r="AH2" s="1"/>
      <c r="AI2" s="2"/>
      <c r="AJ2" s="2">
        <v>1</v>
      </c>
      <c r="AK2" s="2">
        <v>1</v>
      </c>
      <c r="AL2" s="4">
        <v>1</v>
      </c>
      <c r="AM2" s="2">
        <v>3516.4200000087999</v>
      </c>
      <c r="AN2">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S86"/>
  <sheetViews>
    <sheetView workbookViewId="0">
      <selection sqref="A1:AR86"/>
    </sheetView>
  </sheetViews>
  <sheetFormatPr defaultRowHeight="14.4" x14ac:dyDescent="0.3"/>
  <cols>
    <col min="1" max="1" width="19.5546875" style="5" bestFit="1" customWidth="1"/>
    <col min="2" max="4" width="8.88671875" style="5" bestFit="1" customWidth="1"/>
    <col min="5" max="5" width="16.6640625" style="5" bestFit="1" customWidth="1"/>
    <col min="6" max="6" width="9" style="8" bestFit="1" customWidth="1"/>
    <col min="7" max="7" width="9.44140625" style="5" bestFit="1" customWidth="1"/>
    <col min="8" max="8" width="8.88671875" style="6" bestFit="1" customWidth="1"/>
    <col min="9" max="9" width="8.88671875" style="5" bestFit="1" customWidth="1"/>
    <col min="10" max="11" width="8.88671875" style="6" bestFit="1" customWidth="1"/>
    <col min="12" max="12" width="8.88671875" style="5" bestFit="1" customWidth="1"/>
    <col min="13" max="13" width="8.88671875" style="6" bestFit="1" customWidth="1"/>
    <col min="14" max="14" width="8.88671875" style="12" bestFit="1" customWidth="1"/>
    <col min="15" max="17" width="8.88671875" style="6" bestFit="1" customWidth="1"/>
    <col min="18" max="18" width="8.88671875" style="8" bestFit="1" customWidth="1"/>
    <col min="19" max="23" width="8.88671875" style="6" bestFit="1" customWidth="1"/>
    <col min="24" max="24" width="8.88671875" style="5" bestFit="1" customWidth="1"/>
    <col min="25" max="30" width="8.88671875" style="6" bestFit="1" customWidth="1"/>
    <col min="31" max="31" width="8.88671875" style="5" bestFit="1" customWidth="1"/>
    <col min="32" max="32" width="13.5546875" style="5" bestFit="1" customWidth="1"/>
    <col min="33" max="35" width="13.5546875" style="6" bestFit="1" customWidth="1"/>
    <col min="36" max="37" width="13.5546875" style="5" bestFit="1" customWidth="1"/>
    <col min="38" max="38" width="13.5546875" style="7" bestFit="1" customWidth="1"/>
    <col min="39" max="39" width="13.5546875" style="5" bestFit="1" customWidth="1"/>
    <col min="40" max="43" width="13.5546875" style="7" bestFit="1" customWidth="1"/>
    <col min="44" max="45" width="13.5546875" style="6" bestFit="1" customWidth="1"/>
  </cols>
  <sheetData>
    <row r="1" spans="1:45" ht="18.75" customHeight="1" x14ac:dyDescent="0.3">
      <c r="A1" s="9" t="s">
        <v>0</v>
      </c>
      <c r="B1" s="9" t="s">
        <v>40</v>
      </c>
      <c r="C1" s="9" t="s">
        <v>41</v>
      </c>
      <c r="D1" s="9" t="s">
        <v>2</v>
      </c>
      <c r="E1" s="9" t="s">
        <v>3</v>
      </c>
      <c r="F1" s="10" t="s">
        <v>42</v>
      </c>
      <c r="G1" s="9" t="s">
        <v>23</v>
      </c>
      <c r="H1" s="11" t="s">
        <v>24</v>
      </c>
      <c r="I1" s="9" t="s">
        <v>25</v>
      </c>
      <c r="J1" s="11" t="s">
        <v>37</v>
      </c>
      <c r="K1" s="11" t="s">
        <v>43</v>
      </c>
      <c r="L1" s="9" t="s">
        <v>33</v>
      </c>
      <c r="M1" s="11" t="s">
        <v>38</v>
      </c>
      <c r="N1" s="9" t="s">
        <v>44</v>
      </c>
      <c r="O1" s="11" t="s">
        <v>234</v>
      </c>
      <c r="P1" s="11" t="s">
        <v>15</v>
      </c>
      <c r="Q1" s="11" t="s">
        <v>45</v>
      </c>
      <c r="R1" s="10" t="s">
        <v>46</v>
      </c>
      <c r="S1" s="11" t="s">
        <v>21</v>
      </c>
      <c r="T1" s="11" t="s">
        <v>18</v>
      </c>
      <c r="U1" s="11" t="s">
        <v>19</v>
      </c>
      <c r="V1" s="11" t="s">
        <v>47</v>
      </c>
      <c r="W1" s="11" t="s">
        <v>48</v>
      </c>
      <c r="X1" s="9" t="s">
        <v>49</v>
      </c>
      <c r="Y1" s="11" t="s">
        <v>50</v>
      </c>
      <c r="Z1" s="11" t="s">
        <v>51</v>
      </c>
      <c r="AA1" s="11" t="s">
        <v>52</v>
      </c>
      <c r="AB1" s="11" t="s">
        <v>53</v>
      </c>
      <c r="AC1" s="11" t="s">
        <v>54</v>
      </c>
      <c r="AD1" s="11" t="s">
        <v>55</v>
      </c>
      <c r="AE1" s="9" t="s">
        <v>56</v>
      </c>
      <c r="AF1" s="9" t="s">
        <v>57</v>
      </c>
      <c r="AG1" s="11" t="s">
        <v>58</v>
      </c>
      <c r="AH1" s="11" t="s">
        <v>59</v>
      </c>
      <c r="AI1" s="11" t="s">
        <v>60</v>
      </c>
      <c r="AJ1" s="9" t="s">
        <v>61</v>
      </c>
      <c r="AK1" s="9" t="s">
        <v>69</v>
      </c>
      <c r="AL1" s="9" t="s">
        <v>65</v>
      </c>
      <c r="AM1" s="9" t="s">
        <v>66</v>
      </c>
      <c r="AN1" s="9" t="s">
        <v>67</v>
      </c>
      <c r="AO1" s="9" t="s">
        <v>64</v>
      </c>
      <c r="AP1" s="9" t="s">
        <v>62</v>
      </c>
      <c r="AQ1" s="9" t="s">
        <v>68</v>
      </c>
      <c r="AR1" s="11" t="s">
        <v>63</v>
      </c>
      <c r="AS1" s="11" t="s">
        <v>71</v>
      </c>
    </row>
    <row r="2" spans="1:45" x14ac:dyDescent="0.3">
      <c r="A2" s="5" t="s">
        <v>235</v>
      </c>
      <c r="B2" s="5" t="s">
        <v>174</v>
      </c>
      <c r="C2" s="5" t="s">
        <v>72</v>
      </c>
      <c r="E2" s="5" t="s">
        <v>108</v>
      </c>
      <c r="F2" s="8">
        <v>1</v>
      </c>
      <c r="G2" s="5" t="s">
        <v>30</v>
      </c>
      <c r="H2" s="6">
        <v>0</v>
      </c>
      <c r="I2" s="5" t="s">
        <v>31</v>
      </c>
      <c r="J2" s="6">
        <v>1000</v>
      </c>
      <c r="K2" s="6">
        <v>0</v>
      </c>
      <c r="L2" s="5" t="s">
        <v>30</v>
      </c>
      <c r="M2" s="6">
        <v>1000</v>
      </c>
      <c r="N2" s="12">
        <v>31000</v>
      </c>
      <c r="Q2" s="6">
        <v>-1</v>
      </c>
      <c r="R2" s="8">
        <v>1</v>
      </c>
      <c r="S2" s="6">
        <v>123.508846693224</v>
      </c>
      <c r="T2" s="6">
        <v>0</v>
      </c>
      <c r="U2" s="6">
        <v>0</v>
      </c>
      <c r="V2" s="6">
        <v>0</v>
      </c>
      <c r="W2" s="6">
        <v>377.24389466495398</v>
      </c>
      <c r="X2" s="5">
        <v>1</v>
      </c>
      <c r="Y2" s="6" t="s">
        <v>32</v>
      </c>
      <c r="Z2" s="6">
        <v>0</v>
      </c>
      <c r="AA2" s="6">
        <v>0</v>
      </c>
      <c r="AB2" s="6">
        <v>0</v>
      </c>
      <c r="AC2" s="6">
        <v>0</v>
      </c>
      <c r="AD2" s="6">
        <v>1</v>
      </c>
      <c r="AE2" s="5">
        <v>0</v>
      </c>
      <c r="AH2" s="6">
        <v>1</v>
      </c>
      <c r="AI2" s="6">
        <v>1</v>
      </c>
      <c r="AJ2" s="5">
        <v>1000.00000002023</v>
      </c>
      <c r="AK2" s="5">
        <v>0.96184305038492401</v>
      </c>
      <c r="AM2" s="5">
        <v>0</v>
      </c>
      <c r="AN2" s="7">
        <v>1</v>
      </c>
      <c r="AO2" s="7">
        <v>1</v>
      </c>
      <c r="AP2" s="7" t="s">
        <v>236</v>
      </c>
      <c r="AQ2" s="7">
        <v>500</v>
      </c>
      <c r="AR2" s="6" t="s">
        <v>237</v>
      </c>
    </row>
    <row r="3" spans="1:45" x14ac:dyDescent="0.3">
      <c r="A3" s="5" t="s">
        <v>238</v>
      </c>
      <c r="B3" s="5" t="s">
        <v>166</v>
      </c>
      <c r="C3" s="5" t="s">
        <v>72</v>
      </c>
      <c r="E3" s="5" t="s">
        <v>108</v>
      </c>
      <c r="F3" s="8">
        <v>1</v>
      </c>
      <c r="G3" s="5" t="s">
        <v>30</v>
      </c>
      <c r="H3" s="6">
        <v>2030</v>
      </c>
      <c r="I3" s="5" t="s">
        <v>31</v>
      </c>
      <c r="J3" s="6">
        <v>0</v>
      </c>
      <c r="K3" s="6">
        <v>0</v>
      </c>
      <c r="L3" s="5" t="s">
        <v>30</v>
      </c>
      <c r="M3" s="6">
        <v>0</v>
      </c>
      <c r="N3" s="12">
        <v>30000</v>
      </c>
      <c r="Q3" s="6">
        <v>0</v>
      </c>
      <c r="R3" s="8">
        <v>1</v>
      </c>
      <c r="S3" s="6">
        <v>96.124661037107998</v>
      </c>
      <c r="T3" s="6">
        <v>0</v>
      </c>
      <c r="U3" s="6">
        <v>0</v>
      </c>
      <c r="V3" s="6">
        <v>0</v>
      </c>
      <c r="W3" s="6">
        <v>460.22042159402201</v>
      </c>
      <c r="X3" s="5">
        <v>1</v>
      </c>
      <c r="Y3" s="6" t="s">
        <v>32</v>
      </c>
      <c r="Z3" s="6">
        <v>0</v>
      </c>
      <c r="AA3" s="6">
        <v>0</v>
      </c>
      <c r="AB3" s="6">
        <v>0</v>
      </c>
      <c r="AC3" s="6">
        <v>0</v>
      </c>
      <c r="AD3" s="6">
        <v>1</v>
      </c>
      <c r="AE3" s="5">
        <v>0</v>
      </c>
      <c r="AH3" s="6">
        <v>1</v>
      </c>
      <c r="AI3" s="6">
        <v>1</v>
      </c>
      <c r="AJ3" s="20">
        <v>1.24979435594643E-6</v>
      </c>
      <c r="AK3" s="5">
        <v>0</v>
      </c>
      <c r="AL3" s="7" t="s">
        <v>239</v>
      </c>
      <c r="AM3" s="5">
        <v>1</v>
      </c>
      <c r="AP3" s="7" t="s">
        <v>240</v>
      </c>
      <c r="AR3" s="6" t="s">
        <v>241</v>
      </c>
    </row>
    <row r="4" spans="1:45" x14ac:dyDescent="0.3">
      <c r="A4" s="5" t="s">
        <v>242</v>
      </c>
      <c r="B4" s="5" t="s">
        <v>162</v>
      </c>
      <c r="C4" s="5" t="s">
        <v>169</v>
      </c>
      <c r="E4" s="5" t="s">
        <v>108</v>
      </c>
      <c r="F4" s="8">
        <v>1</v>
      </c>
      <c r="G4" s="5" t="s">
        <v>30</v>
      </c>
      <c r="H4" s="6">
        <v>2036</v>
      </c>
      <c r="I4" s="5" t="s">
        <v>31</v>
      </c>
      <c r="J4" s="6">
        <v>0</v>
      </c>
      <c r="K4" s="6">
        <v>0</v>
      </c>
      <c r="L4" s="5" t="s">
        <v>30</v>
      </c>
      <c r="M4" s="6">
        <v>0</v>
      </c>
      <c r="N4" s="12">
        <v>30000</v>
      </c>
      <c r="Q4" s="6">
        <v>0</v>
      </c>
      <c r="R4" s="8">
        <v>1</v>
      </c>
      <c r="S4" s="6">
        <v>117.970429382649</v>
      </c>
      <c r="T4" s="6">
        <v>0</v>
      </c>
      <c r="U4" s="6">
        <v>0</v>
      </c>
      <c r="V4" s="6">
        <v>0</v>
      </c>
      <c r="W4" s="6">
        <v>503.177907421626</v>
      </c>
      <c r="X4" s="5">
        <v>1</v>
      </c>
      <c r="Y4" s="6" t="s">
        <v>32</v>
      </c>
      <c r="Z4" s="6">
        <v>0</v>
      </c>
      <c r="AA4" s="6">
        <v>0</v>
      </c>
      <c r="AB4" s="6">
        <v>0</v>
      </c>
      <c r="AC4" s="6">
        <v>0</v>
      </c>
      <c r="AD4" s="6">
        <v>1</v>
      </c>
      <c r="AE4" s="5">
        <v>0</v>
      </c>
      <c r="AH4" s="6">
        <v>1</v>
      </c>
      <c r="AI4" s="6">
        <v>1</v>
      </c>
      <c r="AJ4" s="20">
        <v>1.0506217158575999E-6</v>
      </c>
      <c r="AK4" s="5">
        <v>0.33</v>
      </c>
      <c r="AL4" s="7" t="s">
        <v>239</v>
      </c>
      <c r="AM4" s="5">
        <v>1</v>
      </c>
      <c r="AP4" s="7" t="s">
        <v>243</v>
      </c>
      <c r="AR4" s="6" t="s">
        <v>244</v>
      </c>
    </row>
    <row r="5" spans="1:45" x14ac:dyDescent="0.3">
      <c r="A5" s="5" t="s">
        <v>245</v>
      </c>
      <c r="B5" s="5" t="s">
        <v>156</v>
      </c>
      <c r="C5" s="5" t="s">
        <v>72</v>
      </c>
      <c r="E5" s="5" t="s">
        <v>108</v>
      </c>
      <c r="F5" s="8">
        <v>1</v>
      </c>
      <c r="G5" s="5" t="s">
        <v>30</v>
      </c>
      <c r="H5" s="6">
        <v>2035</v>
      </c>
      <c r="I5" s="5" t="s">
        <v>31</v>
      </c>
      <c r="J5" s="6">
        <v>0</v>
      </c>
      <c r="K5" s="6">
        <v>0</v>
      </c>
      <c r="L5" s="5" t="s">
        <v>30</v>
      </c>
      <c r="M5" s="6">
        <v>0</v>
      </c>
      <c r="N5" s="12">
        <v>30000</v>
      </c>
      <c r="Q5" s="6">
        <v>0</v>
      </c>
      <c r="R5" s="8">
        <v>1</v>
      </c>
      <c r="S5" s="6">
        <v>125.80196006023699</v>
      </c>
      <c r="T5" s="6">
        <v>0</v>
      </c>
      <c r="U5" s="6">
        <v>0</v>
      </c>
      <c r="V5" s="6">
        <v>0</v>
      </c>
      <c r="W5" s="6">
        <v>491.87067543941203</v>
      </c>
      <c r="X5" s="5">
        <v>1</v>
      </c>
      <c r="Y5" s="6" t="s">
        <v>32</v>
      </c>
      <c r="Z5" s="6">
        <v>0</v>
      </c>
      <c r="AA5" s="6">
        <v>0</v>
      </c>
      <c r="AB5" s="6">
        <v>0</v>
      </c>
      <c r="AC5" s="6">
        <v>0</v>
      </c>
      <c r="AD5" s="6">
        <v>1</v>
      </c>
      <c r="AE5" s="5">
        <v>0</v>
      </c>
      <c r="AH5" s="6">
        <v>1</v>
      </c>
      <c r="AI5" s="6">
        <v>1</v>
      </c>
      <c r="AJ5" s="20">
        <v>1.03664004122531E-6</v>
      </c>
      <c r="AK5" s="5">
        <v>0.52</v>
      </c>
      <c r="AL5" s="7" t="s">
        <v>239</v>
      </c>
      <c r="AM5" s="5">
        <v>1</v>
      </c>
      <c r="AP5" s="7" t="s">
        <v>246</v>
      </c>
      <c r="AR5" s="6" t="s">
        <v>247</v>
      </c>
    </row>
    <row r="6" spans="1:45" x14ac:dyDescent="0.3">
      <c r="A6" s="5" t="s">
        <v>248</v>
      </c>
      <c r="B6" s="5" t="s">
        <v>156</v>
      </c>
      <c r="C6" s="5" t="s">
        <v>172</v>
      </c>
      <c r="E6" s="5" t="s">
        <v>108</v>
      </c>
      <c r="F6" s="8">
        <v>1</v>
      </c>
      <c r="G6" s="5" t="s">
        <v>30</v>
      </c>
      <c r="H6" s="6">
        <v>2035</v>
      </c>
      <c r="I6" s="5" t="s">
        <v>31</v>
      </c>
      <c r="J6" s="6">
        <v>0</v>
      </c>
      <c r="K6" s="6">
        <v>0</v>
      </c>
      <c r="L6" s="5" t="s">
        <v>30</v>
      </c>
      <c r="M6" s="6">
        <v>0</v>
      </c>
      <c r="N6" s="12">
        <v>30000</v>
      </c>
      <c r="Q6" s="6">
        <v>0</v>
      </c>
      <c r="R6" s="8">
        <v>1</v>
      </c>
      <c r="S6" s="6">
        <v>74.192227867719296</v>
      </c>
      <c r="T6" s="6">
        <v>0</v>
      </c>
      <c r="U6" s="6">
        <v>0</v>
      </c>
      <c r="V6" s="6">
        <v>0</v>
      </c>
      <c r="W6" s="6">
        <v>176.16658005199699</v>
      </c>
      <c r="X6" s="5">
        <v>1</v>
      </c>
      <c r="Y6" s="6" t="s">
        <v>32</v>
      </c>
      <c r="Z6" s="6">
        <v>0</v>
      </c>
      <c r="AA6" s="6">
        <v>0</v>
      </c>
      <c r="AB6" s="6">
        <v>0</v>
      </c>
      <c r="AC6" s="6">
        <v>0</v>
      </c>
      <c r="AD6" s="6">
        <v>1</v>
      </c>
      <c r="AE6" s="5">
        <v>0</v>
      </c>
      <c r="AH6" s="6">
        <v>1</v>
      </c>
      <c r="AI6" s="6">
        <v>1</v>
      </c>
      <c r="AJ6" s="20">
        <v>1.6577348799249001E-6</v>
      </c>
      <c r="AK6" s="5">
        <v>0.6</v>
      </c>
      <c r="AL6" s="7" t="s">
        <v>239</v>
      </c>
      <c r="AM6" s="5">
        <v>1</v>
      </c>
      <c r="AP6" s="7" t="s">
        <v>249</v>
      </c>
      <c r="AR6" s="6" t="s">
        <v>250</v>
      </c>
    </row>
    <row r="7" spans="1:45" x14ac:dyDescent="0.3">
      <c r="A7" s="5" t="s">
        <v>251</v>
      </c>
      <c r="B7" s="5" t="s">
        <v>72</v>
      </c>
      <c r="C7" s="5" t="s">
        <v>175</v>
      </c>
      <c r="E7" s="5" t="s">
        <v>73</v>
      </c>
      <c r="F7" s="8">
        <v>0.69940000000000002</v>
      </c>
      <c r="G7" s="5" t="s">
        <v>30</v>
      </c>
      <c r="H7" s="6">
        <v>0</v>
      </c>
      <c r="I7" s="5" t="s">
        <v>31</v>
      </c>
      <c r="J7" s="6">
        <v>0</v>
      </c>
      <c r="K7" s="6">
        <v>0</v>
      </c>
      <c r="L7" s="5" t="s">
        <v>30</v>
      </c>
      <c r="M7" s="6">
        <v>0</v>
      </c>
      <c r="N7" s="12" t="s">
        <v>31</v>
      </c>
      <c r="Q7" s="6">
        <v>0</v>
      </c>
      <c r="R7" s="8">
        <v>1</v>
      </c>
      <c r="S7" s="6">
        <v>344.68634854976801</v>
      </c>
      <c r="T7" s="6">
        <v>0</v>
      </c>
      <c r="U7" s="6">
        <v>0</v>
      </c>
      <c r="V7" s="6">
        <v>0</v>
      </c>
      <c r="W7" s="6">
        <v>0</v>
      </c>
      <c r="X7" s="5">
        <v>1</v>
      </c>
      <c r="Y7" s="6" t="s">
        <v>32</v>
      </c>
      <c r="Z7" s="6">
        <v>0</v>
      </c>
      <c r="AA7" s="6">
        <v>0</v>
      </c>
      <c r="AB7" s="6">
        <v>0</v>
      </c>
      <c r="AC7" s="6">
        <v>0</v>
      </c>
      <c r="AD7" s="6">
        <v>1</v>
      </c>
      <c r="AE7" s="5">
        <v>0</v>
      </c>
      <c r="AH7" s="6">
        <v>1</v>
      </c>
      <c r="AI7" s="6">
        <v>1</v>
      </c>
      <c r="AJ7" s="20">
        <v>1.9749857503059402E-6</v>
      </c>
    </row>
    <row r="8" spans="1:45" x14ac:dyDescent="0.3">
      <c r="A8" s="5" t="s">
        <v>252</v>
      </c>
      <c r="B8" s="5" t="s">
        <v>156</v>
      </c>
      <c r="C8" s="5" t="s">
        <v>176</v>
      </c>
      <c r="E8" s="5" t="s">
        <v>73</v>
      </c>
      <c r="F8" s="8">
        <v>0.69940000000000002</v>
      </c>
      <c r="G8" s="5" t="s">
        <v>30</v>
      </c>
      <c r="H8" s="6">
        <v>0</v>
      </c>
      <c r="I8" s="5" t="s">
        <v>31</v>
      </c>
      <c r="J8" s="6">
        <v>0</v>
      </c>
      <c r="K8" s="6">
        <v>0</v>
      </c>
      <c r="L8" s="5" t="s">
        <v>30</v>
      </c>
      <c r="M8" s="6">
        <v>0</v>
      </c>
      <c r="N8" s="12" t="s">
        <v>31</v>
      </c>
      <c r="Q8" s="6">
        <v>0</v>
      </c>
      <c r="R8" s="8">
        <v>1</v>
      </c>
      <c r="S8" s="6">
        <v>344.68634854976801</v>
      </c>
      <c r="T8" s="6">
        <v>0</v>
      </c>
      <c r="U8" s="6">
        <v>0</v>
      </c>
      <c r="V8" s="6">
        <v>0</v>
      </c>
      <c r="W8" s="6">
        <v>0</v>
      </c>
      <c r="X8" s="5">
        <v>1</v>
      </c>
      <c r="Y8" s="6" t="s">
        <v>32</v>
      </c>
      <c r="Z8" s="6">
        <v>0</v>
      </c>
      <c r="AA8" s="6">
        <v>0</v>
      </c>
      <c r="AB8" s="6">
        <v>0</v>
      </c>
      <c r="AC8" s="6">
        <v>0</v>
      </c>
      <c r="AD8" s="6">
        <v>1</v>
      </c>
      <c r="AE8" s="5">
        <v>0</v>
      </c>
      <c r="AH8" s="6">
        <v>1</v>
      </c>
      <c r="AI8" s="6">
        <v>1</v>
      </c>
      <c r="AJ8" s="20">
        <v>1.9738275896473302E-6</v>
      </c>
    </row>
    <row r="9" spans="1:45" x14ac:dyDescent="0.3">
      <c r="A9" s="5" t="s">
        <v>253</v>
      </c>
      <c r="B9" s="5" t="s">
        <v>157</v>
      </c>
      <c r="C9" s="5" t="s">
        <v>177</v>
      </c>
      <c r="E9" s="5" t="s">
        <v>73</v>
      </c>
      <c r="F9" s="8">
        <v>0.69940000000000002</v>
      </c>
      <c r="G9" s="5" t="s">
        <v>30</v>
      </c>
      <c r="H9" s="6">
        <v>0</v>
      </c>
      <c r="I9" s="5" t="s">
        <v>31</v>
      </c>
      <c r="J9" s="6">
        <v>0</v>
      </c>
      <c r="K9" s="6">
        <v>0</v>
      </c>
      <c r="L9" s="5" t="s">
        <v>30</v>
      </c>
      <c r="M9" s="6">
        <v>0</v>
      </c>
      <c r="N9" s="12" t="s">
        <v>31</v>
      </c>
      <c r="Q9" s="6">
        <v>0</v>
      </c>
      <c r="R9" s="8">
        <v>1</v>
      </c>
      <c r="S9" s="6">
        <v>344.68634854976801</v>
      </c>
      <c r="T9" s="6">
        <v>0</v>
      </c>
      <c r="U9" s="6">
        <v>0</v>
      </c>
      <c r="V9" s="6">
        <v>0</v>
      </c>
      <c r="W9" s="6">
        <v>0</v>
      </c>
      <c r="X9" s="5">
        <v>1</v>
      </c>
      <c r="Y9" s="6" t="s">
        <v>32</v>
      </c>
      <c r="Z9" s="6">
        <v>0</v>
      </c>
      <c r="AA9" s="6">
        <v>0</v>
      </c>
      <c r="AB9" s="6">
        <v>0</v>
      </c>
      <c r="AC9" s="6">
        <v>0</v>
      </c>
      <c r="AD9" s="6">
        <v>1</v>
      </c>
      <c r="AE9" s="5">
        <v>0</v>
      </c>
      <c r="AH9" s="6">
        <v>1</v>
      </c>
      <c r="AI9" s="6">
        <v>1</v>
      </c>
      <c r="AJ9" s="20">
        <v>2.5200810352755899E-6</v>
      </c>
    </row>
    <row r="10" spans="1:45" x14ac:dyDescent="0.3">
      <c r="A10" s="5" t="s">
        <v>254</v>
      </c>
      <c r="B10" s="5" t="s">
        <v>158</v>
      </c>
      <c r="C10" s="5" t="s">
        <v>178</v>
      </c>
      <c r="E10" s="5" t="s">
        <v>73</v>
      </c>
      <c r="F10" s="8">
        <v>0.69940000000000002</v>
      </c>
      <c r="G10" s="5" t="s">
        <v>30</v>
      </c>
      <c r="H10" s="6">
        <v>0</v>
      </c>
      <c r="I10" s="5" t="s">
        <v>31</v>
      </c>
      <c r="J10" s="6">
        <v>0</v>
      </c>
      <c r="K10" s="6">
        <v>0</v>
      </c>
      <c r="L10" s="5" t="s">
        <v>30</v>
      </c>
      <c r="M10" s="6">
        <v>0</v>
      </c>
      <c r="N10" s="12" t="s">
        <v>31</v>
      </c>
      <c r="Q10" s="6">
        <v>0</v>
      </c>
      <c r="R10" s="8">
        <v>1</v>
      </c>
      <c r="S10" s="6">
        <v>344.68634854976801</v>
      </c>
      <c r="T10" s="6">
        <v>0</v>
      </c>
      <c r="U10" s="6">
        <v>0</v>
      </c>
      <c r="V10" s="6">
        <v>0</v>
      </c>
      <c r="W10" s="6">
        <v>0</v>
      </c>
      <c r="X10" s="5">
        <v>1</v>
      </c>
      <c r="Y10" s="6" t="s">
        <v>32</v>
      </c>
      <c r="Z10" s="6">
        <v>0</v>
      </c>
      <c r="AA10" s="6">
        <v>0</v>
      </c>
      <c r="AB10" s="6">
        <v>0</v>
      </c>
      <c r="AC10" s="6">
        <v>0</v>
      </c>
      <c r="AD10" s="6">
        <v>1</v>
      </c>
      <c r="AE10" s="5">
        <v>0</v>
      </c>
      <c r="AH10" s="6">
        <v>1</v>
      </c>
      <c r="AI10" s="6">
        <v>1</v>
      </c>
      <c r="AJ10" s="20">
        <v>1.9556854407460898E-6</v>
      </c>
    </row>
    <row r="11" spans="1:45" x14ac:dyDescent="0.3">
      <c r="A11" s="5" t="s">
        <v>255</v>
      </c>
      <c r="B11" s="5" t="s">
        <v>159</v>
      </c>
      <c r="C11" s="5" t="s">
        <v>179</v>
      </c>
      <c r="E11" s="5" t="s">
        <v>73</v>
      </c>
      <c r="F11" s="8">
        <v>0.69940000000000002</v>
      </c>
      <c r="G11" s="5" t="s">
        <v>30</v>
      </c>
      <c r="H11" s="6">
        <v>0</v>
      </c>
      <c r="I11" s="5" t="s">
        <v>31</v>
      </c>
      <c r="J11" s="6">
        <v>0</v>
      </c>
      <c r="K11" s="6">
        <v>0</v>
      </c>
      <c r="L11" s="5" t="s">
        <v>30</v>
      </c>
      <c r="M11" s="6">
        <v>0</v>
      </c>
      <c r="N11" s="12" t="s">
        <v>31</v>
      </c>
      <c r="Q11" s="6">
        <v>0</v>
      </c>
      <c r="R11" s="8">
        <v>1</v>
      </c>
      <c r="S11" s="6">
        <v>344.68634854976801</v>
      </c>
      <c r="T11" s="6">
        <v>0</v>
      </c>
      <c r="U11" s="6">
        <v>0</v>
      </c>
      <c r="V11" s="6">
        <v>0</v>
      </c>
      <c r="W11" s="6">
        <v>0</v>
      </c>
      <c r="X11" s="5">
        <v>1</v>
      </c>
      <c r="Y11" s="6" t="s">
        <v>32</v>
      </c>
      <c r="Z11" s="6">
        <v>0</v>
      </c>
      <c r="AA11" s="6">
        <v>0</v>
      </c>
      <c r="AB11" s="6">
        <v>0</v>
      </c>
      <c r="AC11" s="6">
        <v>0</v>
      </c>
      <c r="AD11" s="6">
        <v>1</v>
      </c>
      <c r="AE11" s="5">
        <v>0</v>
      </c>
      <c r="AH11" s="6">
        <v>1</v>
      </c>
      <c r="AI11" s="6">
        <v>1</v>
      </c>
      <c r="AJ11" s="20">
        <v>2.5826061085392099E-6</v>
      </c>
    </row>
    <row r="12" spans="1:45" x14ac:dyDescent="0.3">
      <c r="A12" s="5" t="s">
        <v>256</v>
      </c>
      <c r="B12" s="5" t="s">
        <v>160</v>
      </c>
      <c r="C12" s="5" t="s">
        <v>180</v>
      </c>
      <c r="E12" s="5" t="s">
        <v>73</v>
      </c>
      <c r="F12" s="8">
        <v>0.69940000000000002</v>
      </c>
      <c r="G12" s="5" t="s">
        <v>30</v>
      </c>
      <c r="H12" s="6">
        <v>0</v>
      </c>
      <c r="I12" s="5" t="s">
        <v>31</v>
      </c>
      <c r="J12" s="6">
        <v>0</v>
      </c>
      <c r="K12" s="6">
        <v>0</v>
      </c>
      <c r="L12" s="5" t="s">
        <v>30</v>
      </c>
      <c r="M12" s="6">
        <v>0</v>
      </c>
      <c r="N12" s="12" t="s">
        <v>31</v>
      </c>
      <c r="Q12" s="6">
        <v>0</v>
      </c>
      <c r="R12" s="8">
        <v>1</v>
      </c>
      <c r="S12" s="6">
        <v>344.68634854976801</v>
      </c>
      <c r="T12" s="6">
        <v>0</v>
      </c>
      <c r="U12" s="6">
        <v>0</v>
      </c>
      <c r="V12" s="6">
        <v>0</v>
      </c>
      <c r="W12" s="6">
        <v>0</v>
      </c>
      <c r="X12" s="5">
        <v>1</v>
      </c>
      <c r="Y12" s="6" t="s">
        <v>32</v>
      </c>
      <c r="Z12" s="6">
        <v>0</v>
      </c>
      <c r="AA12" s="6">
        <v>0</v>
      </c>
      <c r="AB12" s="6">
        <v>0</v>
      </c>
      <c r="AC12" s="6">
        <v>0</v>
      </c>
      <c r="AD12" s="6">
        <v>1</v>
      </c>
      <c r="AE12" s="5">
        <v>0</v>
      </c>
      <c r="AH12" s="6">
        <v>1</v>
      </c>
      <c r="AI12" s="6">
        <v>1</v>
      </c>
      <c r="AJ12" s="20">
        <v>2.30093551214412E-6</v>
      </c>
    </row>
    <row r="13" spans="1:45" x14ac:dyDescent="0.3">
      <c r="A13" s="5" t="s">
        <v>257</v>
      </c>
      <c r="B13" s="5" t="s">
        <v>161</v>
      </c>
      <c r="C13" s="5" t="s">
        <v>181</v>
      </c>
      <c r="E13" s="5" t="s">
        <v>73</v>
      </c>
      <c r="F13" s="8">
        <v>0.69940000000000002</v>
      </c>
      <c r="G13" s="5" t="s">
        <v>30</v>
      </c>
      <c r="H13" s="6">
        <v>0</v>
      </c>
      <c r="I13" s="5" t="s">
        <v>31</v>
      </c>
      <c r="J13" s="6">
        <v>0</v>
      </c>
      <c r="K13" s="6">
        <v>0</v>
      </c>
      <c r="L13" s="5" t="s">
        <v>30</v>
      </c>
      <c r="M13" s="6">
        <v>0</v>
      </c>
      <c r="N13" s="12" t="s">
        <v>31</v>
      </c>
      <c r="Q13" s="6">
        <v>0</v>
      </c>
      <c r="R13" s="8">
        <v>1</v>
      </c>
      <c r="S13" s="6">
        <v>344.68634854976801</v>
      </c>
      <c r="T13" s="6">
        <v>0</v>
      </c>
      <c r="U13" s="6">
        <v>0</v>
      </c>
      <c r="V13" s="6">
        <v>0</v>
      </c>
      <c r="W13" s="6">
        <v>0</v>
      </c>
      <c r="X13" s="5">
        <v>1</v>
      </c>
      <c r="Y13" s="6" t="s">
        <v>32</v>
      </c>
      <c r="Z13" s="6">
        <v>0</v>
      </c>
      <c r="AA13" s="6">
        <v>0</v>
      </c>
      <c r="AB13" s="6">
        <v>0</v>
      </c>
      <c r="AC13" s="6">
        <v>0</v>
      </c>
      <c r="AD13" s="6">
        <v>1</v>
      </c>
      <c r="AE13" s="5">
        <v>0</v>
      </c>
      <c r="AH13" s="6">
        <v>1</v>
      </c>
      <c r="AI13" s="6">
        <v>1</v>
      </c>
      <c r="AJ13" s="20">
        <v>1.94340673638374E-6</v>
      </c>
    </row>
    <row r="14" spans="1:45" x14ac:dyDescent="0.3">
      <c r="A14" s="5" t="s">
        <v>258</v>
      </c>
      <c r="B14" s="5" t="s">
        <v>162</v>
      </c>
      <c r="C14" s="5" t="s">
        <v>182</v>
      </c>
      <c r="E14" s="5" t="s">
        <v>73</v>
      </c>
      <c r="F14" s="8">
        <v>0.69940000000000002</v>
      </c>
      <c r="G14" s="5" t="s">
        <v>30</v>
      </c>
      <c r="H14" s="6">
        <v>0</v>
      </c>
      <c r="I14" s="5" t="s">
        <v>31</v>
      </c>
      <c r="J14" s="6">
        <v>0</v>
      </c>
      <c r="K14" s="6">
        <v>0</v>
      </c>
      <c r="L14" s="5" t="s">
        <v>30</v>
      </c>
      <c r="M14" s="6">
        <v>0</v>
      </c>
      <c r="N14" s="12" t="s">
        <v>31</v>
      </c>
      <c r="Q14" s="6">
        <v>0</v>
      </c>
      <c r="R14" s="8">
        <v>1</v>
      </c>
      <c r="S14" s="6">
        <v>344.68634854976801</v>
      </c>
      <c r="T14" s="6">
        <v>0</v>
      </c>
      <c r="U14" s="6">
        <v>0</v>
      </c>
      <c r="V14" s="6">
        <v>0</v>
      </c>
      <c r="W14" s="6">
        <v>0</v>
      </c>
      <c r="X14" s="5">
        <v>1</v>
      </c>
      <c r="Y14" s="6" t="s">
        <v>32</v>
      </c>
      <c r="Z14" s="6">
        <v>0</v>
      </c>
      <c r="AA14" s="6">
        <v>0</v>
      </c>
      <c r="AB14" s="6">
        <v>0</v>
      </c>
      <c r="AC14" s="6">
        <v>0</v>
      </c>
      <c r="AD14" s="6">
        <v>1</v>
      </c>
      <c r="AE14" s="5">
        <v>0</v>
      </c>
      <c r="AH14" s="6">
        <v>1</v>
      </c>
      <c r="AI14" s="6">
        <v>1</v>
      </c>
      <c r="AJ14" s="20">
        <v>2.32472241555084E-6</v>
      </c>
    </row>
    <row r="15" spans="1:45" x14ac:dyDescent="0.3">
      <c r="A15" s="5" t="s">
        <v>259</v>
      </c>
      <c r="B15" s="5" t="s">
        <v>163</v>
      </c>
      <c r="C15" s="5" t="s">
        <v>183</v>
      </c>
      <c r="E15" s="5" t="s">
        <v>73</v>
      </c>
      <c r="F15" s="8">
        <v>0.69940000000000002</v>
      </c>
      <c r="G15" s="5" t="s">
        <v>30</v>
      </c>
      <c r="H15" s="6">
        <v>0</v>
      </c>
      <c r="I15" s="5" t="s">
        <v>31</v>
      </c>
      <c r="J15" s="6">
        <v>0</v>
      </c>
      <c r="K15" s="6">
        <v>0</v>
      </c>
      <c r="L15" s="5" t="s">
        <v>30</v>
      </c>
      <c r="M15" s="6">
        <v>0</v>
      </c>
      <c r="N15" s="12" t="s">
        <v>31</v>
      </c>
      <c r="Q15" s="6">
        <v>0</v>
      </c>
      <c r="R15" s="8">
        <v>1</v>
      </c>
      <c r="S15" s="6">
        <v>344.68634854976801</v>
      </c>
      <c r="T15" s="6">
        <v>0</v>
      </c>
      <c r="U15" s="6">
        <v>0</v>
      </c>
      <c r="V15" s="6">
        <v>0</v>
      </c>
      <c r="W15" s="6">
        <v>0</v>
      </c>
      <c r="X15" s="5">
        <v>1</v>
      </c>
      <c r="Y15" s="6" t="s">
        <v>32</v>
      </c>
      <c r="Z15" s="6">
        <v>0</v>
      </c>
      <c r="AA15" s="6">
        <v>0</v>
      </c>
      <c r="AB15" s="6">
        <v>0</v>
      </c>
      <c r="AC15" s="6">
        <v>0</v>
      </c>
      <c r="AD15" s="6">
        <v>1</v>
      </c>
      <c r="AE15" s="5">
        <v>0</v>
      </c>
      <c r="AH15" s="6">
        <v>1</v>
      </c>
      <c r="AI15" s="6">
        <v>1</v>
      </c>
      <c r="AJ15" s="20">
        <v>2.34293527874015E-6</v>
      </c>
    </row>
    <row r="16" spans="1:45" x14ac:dyDescent="0.3">
      <c r="A16" s="5" t="s">
        <v>260</v>
      </c>
      <c r="B16" s="5" t="s">
        <v>164</v>
      </c>
      <c r="C16" s="5" t="s">
        <v>184</v>
      </c>
      <c r="E16" s="5" t="s">
        <v>73</v>
      </c>
      <c r="F16" s="8">
        <v>0.69940000000000002</v>
      </c>
      <c r="G16" s="5" t="s">
        <v>30</v>
      </c>
      <c r="H16" s="6">
        <v>0</v>
      </c>
      <c r="I16" s="5" t="s">
        <v>31</v>
      </c>
      <c r="J16" s="6">
        <v>0</v>
      </c>
      <c r="K16" s="6">
        <v>0</v>
      </c>
      <c r="L16" s="5" t="s">
        <v>30</v>
      </c>
      <c r="M16" s="6">
        <v>0</v>
      </c>
      <c r="N16" s="12" t="s">
        <v>31</v>
      </c>
      <c r="Q16" s="6">
        <v>0</v>
      </c>
      <c r="R16" s="8">
        <v>1</v>
      </c>
      <c r="S16" s="6">
        <v>344.68634854976801</v>
      </c>
      <c r="T16" s="6">
        <v>0</v>
      </c>
      <c r="U16" s="6">
        <v>0</v>
      </c>
      <c r="V16" s="6">
        <v>0</v>
      </c>
      <c r="W16" s="6">
        <v>0</v>
      </c>
      <c r="X16" s="5">
        <v>1</v>
      </c>
      <c r="Y16" s="6" t="s">
        <v>32</v>
      </c>
      <c r="Z16" s="6">
        <v>0</v>
      </c>
      <c r="AA16" s="6">
        <v>0</v>
      </c>
      <c r="AB16" s="6">
        <v>0</v>
      </c>
      <c r="AC16" s="6">
        <v>0</v>
      </c>
      <c r="AD16" s="6">
        <v>1</v>
      </c>
      <c r="AE16" s="5">
        <v>0</v>
      </c>
      <c r="AH16" s="6">
        <v>1</v>
      </c>
      <c r="AI16" s="6">
        <v>1</v>
      </c>
      <c r="AJ16" s="20">
        <v>1.6375495469213501E-6</v>
      </c>
    </row>
    <row r="17" spans="1:36" x14ac:dyDescent="0.3">
      <c r="A17" s="5" t="s">
        <v>261</v>
      </c>
      <c r="B17" s="5" t="s">
        <v>165</v>
      </c>
      <c r="C17" s="5" t="s">
        <v>185</v>
      </c>
      <c r="E17" s="5" t="s">
        <v>73</v>
      </c>
      <c r="F17" s="8">
        <v>0.69940000000000002</v>
      </c>
      <c r="G17" s="5" t="s">
        <v>30</v>
      </c>
      <c r="H17" s="6">
        <v>0</v>
      </c>
      <c r="I17" s="5" t="s">
        <v>31</v>
      </c>
      <c r="J17" s="6">
        <v>0</v>
      </c>
      <c r="K17" s="6">
        <v>0</v>
      </c>
      <c r="L17" s="5" t="s">
        <v>30</v>
      </c>
      <c r="M17" s="6">
        <v>0</v>
      </c>
      <c r="N17" s="12" t="s">
        <v>31</v>
      </c>
      <c r="Q17" s="6">
        <v>0</v>
      </c>
      <c r="R17" s="8">
        <v>1</v>
      </c>
      <c r="S17" s="6">
        <v>344.68634854976801</v>
      </c>
      <c r="T17" s="6">
        <v>0</v>
      </c>
      <c r="U17" s="6">
        <v>0</v>
      </c>
      <c r="V17" s="6">
        <v>0</v>
      </c>
      <c r="W17" s="6">
        <v>0</v>
      </c>
      <c r="X17" s="5">
        <v>1</v>
      </c>
      <c r="Y17" s="6" t="s">
        <v>32</v>
      </c>
      <c r="Z17" s="6">
        <v>0</v>
      </c>
      <c r="AA17" s="6">
        <v>0</v>
      </c>
      <c r="AB17" s="6">
        <v>0</v>
      </c>
      <c r="AC17" s="6">
        <v>0</v>
      </c>
      <c r="AD17" s="6">
        <v>1</v>
      </c>
      <c r="AE17" s="5">
        <v>0</v>
      </c>
      <c r="AH17" s="6">
        <v>1</v>
      </c>
      <c r="AI17" s="6">
        <v>1</v>
      </c>
      <c r="AJ17" s="20">
        <v>2.7017220320149601E-6</v>
      </c>
    </row>
    <row r="18" spans="1:36" x14ac:dyDescent="0.3">
      <c r="A18" s="5" t="s">
        <v>262</v>
      </c>
      <c r="B18" s="5" t="s">
        <v>166</v>
      </c>
      <c r="C18" s="5" t="s">
        <v>186</v>
      </c>
      <c r="E18" s="5" t="s">
        <v>73</v>
      </c>
      <c r="F18" s="8">
        <v>0.69940000000000002</v>
      </c>
      <c r="G18" s="5" t="s">
        <v>30</v>
      </c>
      <c r="H18" s="6">
        <v>0</v>
      </c>
      <c r="I18" s="5" t="s">
        <v>31</v>
      </c>
      <c r="J18" s="6">
        <v>0</v>
      </c>
      <c r="K18" s="6">
        <v>0</v>
      </c>
      <c r="L18" s="5" t="s">
        <v>30</v>
      </c>
      <c r="M18" s="6">
        <v>0</v>
      </c>
      <c r="N18" s="12" t="s">
        <v>31</v>
      </c>
      <c r="Q18" s="6">
        <v>0</v>
      </c>
      <c r="R18" s="8">
        <v>1</v>
      </c>
      <c r="S18" s="6">
        <v>344.68634854976801</v>
      </c>
      <c r="T18" s="6">
        <v>0</v>
      </c>
      <c r="U18" s="6">
        <v>0</v>
      </c>
      <c r="V18" s="6">
        <v>0</v>
      </c>
      <c r="W18" s="6">
        <v>0</v>
      </c>
      <c r="X18" s="5">
        <v>1</v>
      </c>
      <c r="Y18" s="6" t="s">
        <v>32</v>
      </c>
      <c r="Z18" s="6">
        <v>0</v>
      </c>
      <c r="AA18" s="6">
        <v>0</v>
      </c>
      <c r="AB18" s="6">
        <v>0</v>
      </c>
      <c r="AC18" s="6">
        <v>0</v>
      </c>
      <c r="AD18" s="6">
        <v>1</v>
      </c>
      <c r="AE18" s="5">
        <v>0</v>
      </c>
      <c r="AH18" s="6">
        <v>1</v>
      </c>
      <c r="AI18" s="6">
        <v>1</v>
      </c>
      <c r="AJ18" s="20">
        <v>2.3353019715032502E-6</v>
      </c>
    </row>
    <row r="19" spans="1:36" x14ac:dyDescent="0.3">
      <c r="A19" s="5" t="s">
        <v>263</v>
      </c>
      <c r="B19" s="5" t="s">
        <v>167</v>
      </c>
      <c r="C19" s="5" t="s">
        <v>187</v>
      </c>
      <c r="E19" s="5" t="s">
        <v>73</v>
      </c>
      <c r="F19" s="8">
        <v>0.69940000000000002</v>
      </c>
      <c r="G19" s="5" t="s">
        <v>30</v>
      </c>
      <c r="H19" s="6">
        <v>0</v>
      </c>
      <c r="I19" s="5" t="s">
        <v>31</v>
      </c>
      <c r="J19" s="6">
        <v>0</v>
      </c>
      <c r="K19" s="6">
        <v>0</v>
      </c>
      <c r="L19" s="5" t="s">
        <v>30</v>
      </c>
      <c r="M19" s="6">
        <v>0</v>
      </c>
      <c r="N19" s="12" t="s">
        <v>31</v>
      </c>
      <c r="Q19" s="6">
        <v>0</v>
      </c>
      <c r="R19" s="8">
        <v>1</v>
      </c>
      <c r="S19" s="6">
        <v>344.68634854976801</v>
      </c>
      <c r="T19" s="6">
        <v>0</v>
      </c>
      <c r="U19" s="6">
        <v>0</v>
      </c>
      <c r="V19" s="6">
        <v>0</v>
      </c>
      <c r="W19" s="6">
        <v>0</v>
      </c>
      <c r="X19" s="5">
        <v>1</v>
      </c>
      <c r="Y19" s="6" t="s">
        <v>32</v>
      </c>
      <c r="Z19" s="6">
        <v>0</v>
      </c>
      <c r="AA19" s="6">
        <v>0</v>
      </c>
      <c r="AB19" s="6">
        <v>0</v>
      </c>
      <c r="AC19" s="6">
        <v>0</v>
      </c>
      <c r="AD19" s="6">
        <v>1</v>
      </c>
      <c r="AE19" s="5">
        <v>0</v>
      </c>
      <c r="AH19" s="6">
        <v>1</v>
      </c>
      <c r="AI19" s="6">
        <v>1</v>
      </c>
      <c r="AJ19" s="20">
        <v>2.26914137513933E-6</v>
      </c>
    </row>
    <row r="20" spans="1:36" x14ac:dyDescent="0.3">
      <c r="A20" s="5" t="s">
        <v>264</v>
      </c>
      <c r="B20" s="5" t="s">
        <v>168</v>
      </c>
      <c r="C20" s="5" t="s">
        <v>188</v>
      </c>
      <c r="E20" s="5" t="s">
        <v>73</v>
      </c>
      <c r="F20" s="8">
        <v>0.69940000000000002</v>
      </c>
      <c r="G20" s="5" t="s">
        <v>30</v>
      </c>
      <c r="H20" s="6">
        <v>0</v>
      </c>
      <c r="I20" s="5" t="s">
        <v>31</v>
      </c>
      <c r="J20" s="6">
        <v>0</v>
      </c>
      <c r="K20" s="6">
        <v>0</v>
      </c>
      <c r="L20" s="5" t="s">
        <v>30</v>
      </c>
      <c r="M20" s="6">
        <v>0</v>
      </c>
      <c r="N20" s="12" t="s">
        <v>31</v>
      </c>
      <c r="Q20" s="6">
        <v>0</v>
      </c>
      <c r="R20" s="8">
        <v>1</v>
      </c>
      <c r="S20" s="6">
        <v>344.68634854976801</v>
      </c>
      <c r="T20" s="6">
        <v>0</v>
      </c>
      <c r="U20" s="6">
        <v>0</v>
      </c>
      <c r="V20" s="6">
        <v>0</v>
      </c>
      <c r="W20" s="6">
        <v>0</v>
      </c>
      <c r="X20" s="5">
        <v>1</v>
      </c>
      <c r="Y20" s="6" t="s">
        <v>32</v>
      </c>
      <c r="Z20" s="6">
        <v>0</v>
      </c>
      <c r="AA20" s="6">
        <v>0</v>
      </c>
      <c r="AB20" s="6">
        <v>0</v>
      </c>
      <c r="AC20" s="6">
        <v>0</v>
      </c>
      <c r="AD20" s="6">
        <v>1</v>
      </c>
      <c r="AE20" s="5">
        <v>0</v>
      </c>
      <c r="AH20" s="6">
        <v>1</v>
      </c>
      <c r="AI20" s="6">
        <v>1</v>
      </c>
      <c r="AJ20" s="20">
        <v>2.0335869973661902E-6</v>
      </c>
    </row>
    <row r="21" spans="1:36" x14ac:dyDescent="0.3">
      <c r="A21" s="5" t="s">
        <v>265</v>
      </c>
      <c r="B21" s="5" t="s">
        <v>169</v>
      </c>
      <c r="C21" s="5" t="s">
        <v>189</v>
      </c>
      <c r="E21" s="5" t="s">
        <v>73</v>
      </c>
      <c r="F21" s="8">
        <v>0.69940000000000002</v>
      </c>
      <c r="G21" s="5" t="s">
        <v>30</v>
      </c>
      <c r="H21" s="6">
        <v>0</v>
      </c>
      <c r="I21" s="5" t="s">
        <v>31</v>
      </c>
      <c r="J21" s="6">
        <v>0</v>
      </c>
      <c r="K21" s="6">
        <v>0</v>
      </c>
      <c r="L21" s="5" t="s">
        <v>30</v>
      </c>
      <c r="M21" s="6">
        <v>0</v>
      </c>
      <c r="N21" s="12" t="s">
        <v>31</v>
      </c>
      <c r="Q21" s="6">
        <v>0</v>
      </c>
      <c r="R21" s="8">
        <v>1</v>
      </c>
      <c r="S21" s="6">
        <v>344.68634854976801</v>
      </c>
      <c r="T21" s="6">
        <v>0</v>
      </c>
      <c r="U21" s="6">
        <v>0</v>
      </c>
      <c r="V21" s="6">
        <v>0</v>
      </c>
      <c r="W21" s="6">
        <v>0</v>
      </c>
      <c r="X21" s="5">
        <v>1</v>
      </c>
      <c r="Y21" s="6" t="s">
        <v>32</v>
      </c>
      <c r="Z21" s="6">
        <v>0</v>
      </c>
      <c r="AA21" s="6">
        <v>0</v>
      </c>
      <c r="AB21" s="6">
        <v>0</v>
      </c>
      <c r="AC21" s="6">
        <v>0</v>
      </c>
      <c r="AD21" s="6">
        <v>1</v>
      </c>
      <c r="AE21" s="5">
        <v>0</v>
      </c>
      <c r="AH21" s="6">
        <v>1</v>
      </c>
      <c r="AI21" s="6">
        <v>1</v>
      </c>
      <c r="AJ21" s="20">
        <v>1.9334233831405001E-6</v>
      </c>
    </row>
    <row r="22" spans="1:36" x14ac:dyDescent="0.3">
      <c r="A22" s="5" t="s">
        <v>266</v>
      </c>
      <c r="B22" s="5" t="s">
        <v>170</v>
      </c>
      <c r="C22" s="5" t="s">
        <v>190</v>
      </c>
      <c r="E22" s="5" t="s">
        <v>73</v>
      </c>
      <c r="F22" s="8">
        <v>0.69940000000000002</v>
      </c>
      <c r="G22" s="5" t="s">
        <v>30</v>
      </c>
      <c r="H22" s="6">
        <v>0</v>
      </c>
      <c r="I22" s="5" t="s">
        <v>31</v>
      </c>
      <c r="J22" s="6">
        <v>0</v>
      </c>
      <c r="K22" s="6">
        <v>0</v>
      </c>
      <c r="L22" s="5" t="s">
        <v>30</v>
      </c>
      <c r="M22" s="6">
        <v>0</v>
      </c>
      <c r="N22" s="12" t="s">
        <v>31</v>
      </c>
      <c r="Q22" s="6">
        <v>0</v>
      </c>
      <c r="R22" s="8">
        <v>1</v>
      </c>
      <c r="S22" s="6">
        <v>344.68634854976801</v>
      </c>
      <c r="T22" s="6">
        <v>0</v>
      </c>
      <c r="U22" s="6">
        <v>0</v>
      </c>
      <c r="V22" s="6">
        <v>0</v>
      </c>
      <c r="W22" s="6">
        <v>0</v>
      </c>
      <c r="X22" s="5">
        <v>1</v>
      </c>
      <c r="Y22" s="6" t="s">
        <v>32</v>
      </c>
      <c r="Z22" s="6">
        <v>0</v>
      </c>
      <c r="AA22" s="6">
        <v>0</v>
      </c>
      <c r="AB22" s="6">
        <v>0</v>
      </c>
      <c r="AC22" s="6">
        <v>0</v>
      </c>
      <c r="AD22" s="6">
        <v>1</v>
      </c>
      <c r="AE22" s="5">
        <v>0</v>
      </c>
      <c r="AH22" s="6">
        <v>1</v>
      </c>
      <c r="AI22" s="6">
        <v>1</v>
      </c>
      <c r="AJ22" s="20">
        <v>2.2927032843021601E-6</v>
      </c>
    </row>
    <row r="23" spans="1:36" x14ac:dyDescent="0.3">
      <c r="A23" s="5" t="s">
        <v>267</v>
      </c>
      <c r="B23" s="5" t="s">
        <v>171</v>
      </c>
      <c r="C23" s="5" t="s">
        <v>191</v>
      </c>
      <c r="E23" s="5" t="s">
        <v>73</v>
      </c>
      <c r="F23" s="8">
        <v>0.69940000000000002</v>
      </c>
      <c r="G23" s="5" t="s">
        <v>30</v>
      </c>
      <c r="H23" s="6">
        <v>0</v>
      </c>
      <c r="I23" s="5" t="s">
        <v>31</v>
      </c>
      <c r="J23" s="6">
        <v>0</v>
      </c>
      <c r="K23" s="6">
        <v>0</v>
      </c>
      <c r="L23" s="5" t="s">
        <v>30</v>
      </c>
      <c r="M23" s="6">
        <v>0</v>
      </c>
      <c r="N23" s="12" t="s">
        <v>31</v>
      </c>
      <c r="Q23" s="6">
        <v>0</v>
      </c>
      <c r="R23" s="8">
        <v>1</v>
      </c>
      <c r="S23" s="6">
        <v>344.68634854976801</v>
      </c>
      <c r="T23" s="6">
        <v>0</v>
      </c>
      <c r="U23" s="6">
        <v>0</v>
      </c>
      <c r="V23" s="6">
        <v>0</v>
      </c>
      <c r="W23" s="6">
        <v>0</v>
      </c>
      <c r="X23" s="5">
        <v>1</v>
      </c>
      <c r="Y23" s="6" t="s">
        <v>32</v>
      </c>
      <c r="Z23" s="6">
        <v>0</v>
      </c>
      <c r="AA23" s="6">
        <v>0</v>
      </c>
      <c r="AB23" s="6">
        <v>0</v>
      </c>
      <c r="AC23" s="6">
        <v>0</v>
      </c>
      <c r="AD23" s="6">
        <v>1</v>
      </c>
      <c r="AE23" s="5">
        <v>0</v>
      </c>
      <c r="AH23" s="6">
        <v>1</v>
      </c>
      <c r="AI23" s="6">
        <v>1</v>
      </c>
      <c r="AJ23" s="20">
        <v>1.9103922909051798E-6</v>
      </c>
    </row>
    <row r="24" spans="1:36" x14ac:dyDescent="0.3">
      <c r="A24" s="5" t="s">
        <v>268</v>
      </c>
      <c r="B24" s="5" t="s">
        <v>172</v>
      </c>
      <c r="C24" s="5" t="s">
        <v>192</v>
      </c>
      <c r="E24" s="5" t="s">
        <v>73</v>
      </c>
      <c r="F24" s="8">
        <v>0.69940000000000002</v>
      </c>
      <c r="G24" s="5" t="s">
        <v>30</v>
      </c>
      <c r="H24" s="6">
        <v>0</v>
      </c>
      <c r="I24" s="5" t="s">
        <v>31</v>
      </c>
      <c r="J24" s="6">
        <v>0</v>
      </c>
      <c r="K24" s="6">
        <v>0</v>
      </c>
      <c r="L24" s="5" t="s">
        <v>30</v>
      </c>
      <c r="M24" s="6">
        <v>0</v>
      </c>
      <c r="N24" s="12" t="s">
        <v>31</v>
      </c>
      <c r="Q24" s="6">
        <v>0</v>
      </c>
      <c r="R24" s="8">
        <v>1</v>
      </c>
      <c r="S24" s="6">
        <v>344.68634854976801</v>
      </c>
      <c r="T24" s="6">
        <v>0</v>
      </c>
      <c r="U24" s="6">
        <v>0</v>
      </c>
      <c r="V24" s="6">
        <v>0</v>
      </c>
      <c r="W24" s="6">
        <v>0</v>
      </c>
      <c r="X24" s="5">
        <v>1</v>
      </c>
      <c r="Y24" s="6" t="s">
        <v>32</v>
      </c>
      <c r="Z24" s="6">
        <v>0</v>
      </c>
      <c r="AA24" s="6">
        <v>0</v>
      </c>
      <c r="AB24" s="6">
        <v>0</v>
      </c>
      <c r="AC24" s="6">
        <v>0</v>
      </c>
      <c r="AD24" s="6">
        <v>1</v>
      </c>
      <c r="AE24" s="5">
        <v>0</v>
      </c>
      <c r="AH24" s="6">
        <v>1</v>
      </c>
      <c r="AI24" s="6">
        <v>1</v>
      </c>
      <c r="AJ24" s="20">
        <v>1.92496350419904E-6</v>
      </c>
    </row>
    <row r="25" spans="1:36" x14ac:dyDescent="0.3">
      <c r="A25" s="5" t="s">
        <v>269</v>
      </c>
      <c r="B25" s="5" t="s">
        <v>173</v>
      </c>
      <c r="C25" s="5" t="s">
        <v>193</v>
      </c>
      <c r="E25" s="5" t="s">
        <v>73</v>
      </c>
      <c r="F25" s="8">
        <v>0.69940000000000002</v>
      </c>
      <c r="G25" s="5" t="s">
        <v>30</v>
      </c>
      <c r="H25" s="6">
        <v>0</v>
      </c>
      <c r="I25" s="5" t="s">
        <v>31</v>
      </c>
      <c r="J25" s="6">
        <v>0</v>
      </c>
      <c r="K25" s="6">
        <v>0</v>
      </c>
      <c r="L25" s="5" t="s">
        <v>30</v>
      </c>
      <c r="M25" s="6">
        <v>0</v>
      </c>
      <c r="N25" s="12" t="s">
        <v>31</v>
      </c>
      <c r="Q25" s="6">
        <v>0</v>
      </c>
      <c r="R25" s="8">
        <v>1</v>
      </c>
      <c r="S25" s="6">
        <v>344.68634854976801</v>
      </c>
      <c r="T25" s="6">
        <v>0</v>
      </c>
      <c r="U25" s="6">
        <v>0</v>
      </c>
      <c r="V25" s="6">
        <v>0</v>
      </c>
      <c r="W25" s="6">
        <v>0</v>
      </c>
      <c r="X25" s="5">
        <v>1</v>
      </c>
      <c r="Y25" s="6" t="s">
        <v>32</v>
      </c>
      <c r="Z25" s="6">
        <v>0</v>
      </c>
      <c r="AA25" s="6">
        <v>0</v>
      </c>
      <c r="AB25" s="6">
        <v>0</v>
      </c>
      <c r="AC25" s="6">
        <v>0</v>
      </c>
      <c r="AD25" s="6">
        <v>1</v>
      </c>
      <c r="AE25" s="5">
        <v>0</v>
      </c>
      <c r="AH25" s="6">
        <v>1</v>
      </c>
      <c r="AI25" s="6">
        <v>1</v>
      </c>
      <c r="AJ25" s="20">
        <v>2.2779862299877801E-6</v>
      </c>
    </row>
    <row r="26" spans="1:36" x14ac:dyDescent="0.3">
      <c r="A26" s="5" t="s">
        <v>270</v>
      </c>
      <c r="B26" s="5" t="s">
        <v>174</v>
      </c>
      <c r="C26" s="5" t="s">
        <v>194</v>
      </c>
      <c r="E26" s="5" t="s">
        <v>73</v>
      </c>
      <c r="F26" s="8">
        <v>0.69940000000000002</v>
      </c>
      <c r="G26" s="5" t="s">
        <v>30</v>
      </c>
      <c r="H26" s="6">
        <v>0</v>
      </c>
      <c r="I26" s="5" t="s">
        <v>31</v>
      </c>
      <c r="J26" s="6">
        <v>0</v>
      </c>
      <c r="K26" s="6">
        <v>0</v>
      </c>
      <c r="L26" s="5" t="s">
        <v>30</v>
      </c>
      <c r="M26" s="6">
        <v>0</v>
      </c>
      <c r="N26" s="12" t="s">
        <v>31</v>
      </c>
      <c r="Q26" s="6">
        <v>0</v>
      </c>
      <c r="R26" s="8">
        <v>1</v>
      </c>
      <c r="S26" s="6">
        <v>344.68634854976801</v>
      </c>
      <c r="T26" s="6">
        <v>0</v>
      </c>
      <c r="U26" s="6">
        <v>0</v>
      </c>
      <c r="V26" s="6">
        <v>0</v>
      </c>
      <c r="W26" s="6">
        <v>0</v>
      </c>
      <c r="X26" s="5">
        <v>1</v>
      </c>
      <c r="Y26" s="6" t="s">
        <v>32</v>
      </c>
      <c r="Z26" s="6">
        <v>0</v>
      </c>
      <c r="AA26" s="6">
        <v>0</v>
      </c>
      <c r="AB26" s="6">
        <v>0</v>
      </c>
      <c r="AC26" s="6">
        <v>0</v>
      </c>
      <c r="AD26" s="6">
        <v>1</v>
      </c>
      <c r="AE26" s="5">
        <v>0</v>
      </c>
      <c r="AH26" s="6">
        <v>1</v>
      </c>
      <c r="AI26" s="6">
        <v>1</v>
      </c>
      <c r="AJ26" s="20">
        <v>1.9603279902334099E-6</v>
      </c>
    </row>
    <row r="27" spans="1:36" x14ac:dyDescent="0.3">
      <c r="A27" s="5" t="s">
        <v>271</v>
      </c>
      <c r="B27" s="5" t="s">
        <v>175</v>
      </c>
      <c r="C27" s="5" t="s">
        <v>72</v>
      </c>
      <c r="E27" s="5" t="s">
        <v>74</v>
      </c>
      <c r="F27" s="8">
        <v>0.5</v>
      </c>
      <c r="G27" s="5" t="s">
        <v>30</v>
      </c>
      <c r="H27" s="6">
        <v>0</v>
      </c>
      <c r="I27" s="5" t="s">
        <v>31</v>
      </c>
      <c r="J27" s="6">
        <v>0</v>
      </c>
      <c r="K27" s="6">
        <v>0</v>
      </c>
      <c r="L27" s="5" t="s">
        <v>30</v>
      </c>
      <c r="M27" s="6">
        <v>0</v>
      </c>
      <c r="N27" s="12" t="s">
        <v>31</v>
      </c>
      <c r="Q27" s="6">
        <v>0</v>
      </c>
      <c r="R27" s="8">
        <v>1</v>
      </c>
      <c r="S27" s="6">
        <v>223.099214848869</v>
      </c>
      <c r="T27" s="6">
        <v>0</v>
      </c>
      <c r="U27" s="6">
        <v>0</v>
      </c>
      <c r="V27" s="6">
        <v>0</v>
      </c>
      <c r="W27" s="6">
        <v>0</v>
      </c>
      <c r="X27" s="5">
        <v>1</v>
      </c>
      <c r="Y27" s="6" t="s">
        <v>32</v>
      </c>
      <c r="Z27" s="6">
        <v>0</v>
      </c>
      <c r="AA27" s="6">
        <v>0</v>
      </c>
      <c r="AB27" s="6">
        <v>0</v>
      </c>
      <c r="AC27" s="6">
        <v>0</v>
      </c>
      <c r="AD27" s="6">
        <v>1</v>
      </c>
      <c r="AE27" s="5">
        <v>0</v>
      </c>
      <c r="AH27" s="6">
        <v>1</v>
      </c>
      <c r="AI27" s="6">
        <v>1</v>
      </c>
      <c r="AJ27" s="20">
        <v>2.2758650383417101E-6</v>
      </c>
    </row>
    <row r="28" spans="1:36" x14ac:dyDescent="0.3">
      <c r="A28" s="5" t="s">
        <v>272</v>
      </c>
      <c r="B28" s="5" t="s">
        <v>176</v>
      </c>
      <c r="C28" s="5" t="s">
        <v>156</v>
      </c>
      <c r="E28" s="5" t="s">
        <v>74</v>
      </c>
      <c r="F28" s="8">
        <v>0.5</v>
      </c>
      <c r="G28" s="5" t="s">
        <v>30</v>
      </c>
      <c r="H28" s="6">
        <v>0</v>
      </c>
      <c r="I28" s="5" t="s">
        <v>31</v>
      </c>
      <c r="J28" s="6">
        <v>0</v>
      </c>
      <c r="K28" s="6">
        <v>0</v>
      </c>
      <c r="L28" s="5" t="s">
        <v>30</v>
      </c>
      <c r="M28" s="6">
        <v>0</v>
      </c>
      <c r="N28" s="12" t="s">
        <v>31</v>
      </c>
      <c r="Q28" s="6">
        <v>0</v>
      </c>
      <c r="R28" s="8">
        <v>1</v>
      </c>
      <c r="S28" s="6">
        <v>223.099214848869</v>
      </c>
      <c r="T28" s="6">
        <v>0</v>
      </c>
      <c r="U28" s="6">
        <v>0</v>
      </c>
      <c r="V28" s="6">
        <v>0</v>
      </c>
      <c r="W28" s="6">
        <v>0</v>
      </c>
      <c r="X28" s="5">
        <v>1</v>
      </c>
      <c r="Y28" s="6" t="s">
        <v>32</v>
      </c>
      <c r="Z28" s="6">
        <v>0</v>
      </c>
      <c r="AA28" s="6">
        <v>0</v>
      </c>
      <c r="AB28" s="6">
        <v>0</v>
      </c>
      <c r="AC28" s="6">
        <v>0</v>
      </c>
      <c r="AD28" s="6">
        <v>1</v>
      </c>
      <c r="AE28" s="5">
        <v>0</v>
      </c>
      <c r="AH28" s="6">
        <v>1</v>
      </c>
      <c r="AI28" s="6">
        <v>1</v>
      </c>
      <c r="AJ28" s="20">
        <v>2.1400692171034601E-6</v>
      </c>
    </row>
    <row r="29" spans="1:36" x14ac:dyDescent="0.3">
      <c r="A29" s="5" t="s">
        <v>273</v>
      </c>
      <c r="B29" s="5" t="s">
        <v>177</v>
      </c>
      <c r="C29" s="5" t="s">
        <v>157</v>
      </c>
      <c r="E29" s="5" t="s">
        <v>74</v>
      </c>
      <c r="F29" s="8">
        <v>0.5</v>
      </c>
      <c r="G29" s="5" t="s">
        <v>30</v>
      </c>
      <c r="H29" s="6">
        <v>0</v>
      </c>
      <c r="I29" s="5" t="s">
        <v>31</v>
      </c>
      <c r="J29" s="6">
        <v>0</v>
      </c>
      <c r="K29" s="6">
        <v>0</v>
      </c>
      <c r="L29" s="5" t="s">
        <v>30</v>
      </c>
      <c r="M29" s="6">
        <v>0</v>
      </c>
      <c r="N29" s="12" t="s">
        <v>31</v>
      </c>
      <c r="Q29" s="6">
        <v>0</v>
      </c>
      <c r="R29" s="8">
        <v>1</v>
      </c>
      <c r="S29" s="6">
        <v>223.099214848869</v>
      </c>
      <c r="T29" s="6">
        <v>0</v>
      </c>
      <c r="U29" s="6">
        <v>0</v>
      </c>
      <c r="V29" s="6">
        <v>0</v>
      </c>
      <c r="W29" s="6">
        <v>0</v>
      </c>
      <c r="X29" s="5">
        <v>1</v>
      </c>
      <c r="Y29" s="6" t="s">
        <v>32</v>
      </c>
      <c r="Z29" s="6">
        <v>0</v>
      </c>
      <c r="AA29" s="6">
        <v>0</v>
      </c>
      <c r="AB29" s="6">
        <v>0</v>
      </c>
      <c r="AC29" s="6">
        <v>0</v>
      </c>
      <c r="AD29" s="6">
        <v>1</v>
      </c>
      <c r="AE29" s="5">
        <v>0</v>
      </c>
      <c r="AH29" s="6">
        <v>1</v>
      </c>
      <c r="AI29" s="6">
        <v>1</v>
      </c>
      <c r="AJ29" s="20">
        <v>2.4320161319836398E-6</v>
      </c>
    </row>
    <row r="30" spans="1:36" x14ac:dyDescent="0.3">
      <c r="A30" s="5" t="s">
        <v>274</v>
      </c>
      <c r="B30" s="5" t="s">
        <v>178</v>
      </c>
      <c r="C30" s="5" t="s">
        <v>158</v>
      </c>
      <c r="E30" s="5" t="s">
        <v>74</v>
      </c>
      <c r="F30" s="8">
        <v>0.5</v>
      </c>
      <c r="G30" s="5" t="s">
        <v>30</v>
      </c>
      <c r="H30" s="6">
        <v>0</v>
      </c>
      <c r="I30" s="5" t="s">
        <v>31</v>
      </c>
      <c r="J30" s="6">
        <v>0</v>
      </c>
      <c r="K30" s="6">
        <v>0</v>
      </c>
      <c r="L30" s="5" t="s">
        <v>30</v>
      </c>
      <c r="M30" s="6">
        <v>0</v>
      </c>
      <c r="N30" s="12" t="s">
        <v>31</v>
      </c>
      <c r="Q30" s="6">
        <v>0</v>
      </c>
      <c r="R30" s="8">
        <v>1</v>
      </c>
      <c r="S30" s="6">
        <v>223.099214848869</v>
      </c>
      <c r="T30" s="6">
        <v>0</v>
      </c>
      <c r="U30" s="6">
        <v>0</v>
      </c>
      <c r="V30" s="6">
        <v>0</v>
      </c>
      <c r="W30" s="6">
        <v>0</v>
      </c>
      <c r="X30" s="5">
        <v>1</v>
      </c>
      <c r="Y30" s="6" t="s">
        <v>32</v>
      </c>
      <c r="Z30" s="6">
        <v>0</v>
      </c>
      <c r="AA30" s="6">
        <v>0</v>
      </c>
      <c r="AB30" s="6">
        <v>0</v>
      </c>
      <c r="AC30" s="6">
        <v>0</v>
      </c>
      <c r="AD30" s="6">
        <v>1</v>
      </c>
      <c r="AE30" s="5">
        <v>0</v>
      </c>
      <c r="AH30" s="6">
        <v>1</v>
      </c>
      <c r="AI30" s="6">
        <v>1</v>
      </c>
      <c r="AJ30" s="20">
        <v>2.0941969252329302E-6</v>
      </c>
    </row>
    <row r="31" spans="1:36" x14ac:dyDescent="0.3">
      <c r="A31" s="5" t="s">
        <v>275</v>
      </c>
      <c r="B31" s="5" t="s">
        <v>179</v>
      </c>
      <c r="C31" s="5" t="s">
        <v>159</v>
      </c>
      <c r="E31" s="5" t="s">
        <v>74</v>
      </c>
      <c r="F31" s="8">
        <v>0.5</v>
      </c>
      <c r="G31" s="5" t="s">
        <v>30</v>
      </c>
      <c r="H31" s="6">
        <v>0</v>
      </c>
      <c r="I31" s="5" t="s">
        <v>31</v>
      </c>
      <c r="J31" s="6">
        <v>0</v>
      </c>
      <c r="K31" s="6">
        <v>0</v>
      </c>
      <c r="L31" s="5" t="s">
        <v>30</v>
      </c>
      <c r="M31" s="6">
        <v>0</v>
      </c>
      <c r="N31" s="12" t="s">
        <v>31</v>
      </c>
      <c r="Q31" s="6">
        <v>0</v>
      </c>
      <c r="R31" s="8">
        <v>1</v>
      </c>
      <c r="S31" s="6">
        <v>223.099214848869</v>
      </c>
      <c r="T31" s="6">
        <v>0</v>
      </c>
      <c r="U31" s="6">
        <v>0</v>
      </c>
      <c r="V31" s="6">
        <v>0</v>
      </c>
      <c r="W31" s="6">
        <v>0</v>
      </c>
      <c r="X31" s="5">
        <v>1</v>
      </c>
      <c r="Y31" s="6" t="s">
        <v>32</v>
      </c>
      <c r="Z31" s="6">
        <v>0</v>
      </c>
      <c r="AA31" s="6">
        <v>0</v>
      </c>
      <c r="AB31" s="6">
        <v>0</v>
      </c>
      <c r="AC31" s="6">
        <v>0</v>
      </c>
      <c r="AD31" s="6">
        <v>1</v>
      </c>
      <c r="AE31" s="5">
        <v>0</v>
      </c>
      <c r="AH31" s="6">
        <v>1</v>
      </c>
      <c r="AI31" s="6">
        <v>1</v>
      </c>
      <c r="AJ31" s="20">
        <v>2.5230252499267602E-6</v>
      </c>
    </row>
    <row r="32" spans="1:36" x14ac:dyDescent="0.3">
      <c r="A32" s="5" t="s">
        <v>276</v>
      </c>
      <c r="B32" s="5" t="s">
        <v>180</v>
      </c>
      <c r="C32" s="5" t="s">
        <v>160</v>
      </c>
      <c r="E32" s="5" t="s">
        <v>74</v>
      </c>
      <c r="F32" s="8">
        <v>0.5</v>
      </c>
      <c r="G32" s="5" t="s">
        <v>30</v>
      </c>
      <c r="H32" s="6">
        <v>0</v>
      </c>
      <c r="I32" s="5" t="s">
        <v>31</v>
      </c>
      <c r="J32" s="6">
        <v>0</v>
      </c>
      <c r="K32" s="6">
        <v>0</v>
      </c>
      <c r="L32" s="5" t="s">
        <v>30</v>
      </c>
      <c r="M32" s="6">
        <v>0</v>
      </c>
      <c r="N32" s="12" t="s">
        <v>31</v>
      </c>
      <c r="Q32" s="6">
        <v>0</v>
      </c>
      <c r="R32" s="8">
        <v>1</v>
      </c>
      <c r="S32" s="6">
        <v>223.099214848869</v>
      </c>
      <c r="T32" s="6">
        <v>0</v>
      </c>
      <c r="U32" s="6">
        <v>0</v>
      </c>
      <c r="V32" s="6">
        <v>0</v>
      </c>
      <c r="W32" s="6">
        <v>0</v>
      </c>
      <c r="X32" s="5">
        <v>1</v>
      </c>
      <c r="Y32" s="6" t="s">
        <v>32</v>
      </c>
      <c r="Z32" s="6">
        <v>0</v>
      </c>
      <c r="AA32" s="6">
        <v>0</v>
      </c>
      <c r="AB32" s="6">
        <v>0</v>
      </c>
      <c r="AC32" s="6">
        <v>0</v>
      </c>
      <c r="AD32" s="6">
        <v>1</v>
      </c>
      <c r="AE32" s="5">
        <v>0</v>
      </c>
      <c r="AH32" s="6">
        <v>1</v>
      </c>
      <c r="AI32" s="6">
        <v>1</v>
      </c>
      <c r="AJ32" s="20">
        <v>2.2539363269512798E-6</v>
      </c>
    </row>
    <row r="33" spans="1:36" x14ac:dyDescent="0.3">
      <c r="A33" s="5" t="s">
        <v>277</v>
      </c>
      <c r="B33" s="5" t="s">
        <v>181</v>
      </c>
      <c r="C33" s="5" t="s">
        <v>161</v>
      </c>
      <c r="E33" s="5" t="s">
        <v>74</v>
      </c>
      <c r="F33" s="8">
        <v>0.5</v>
      </c>
      <c r="G33" s="5" t="s">
        <v>30</v>
      </c>
      <c r="H33" s="6">
        <v>0</v>
      </c>
      <c r="I33" s="5" t="s">
        <v>31</v>
      </c>
      <c r="J33" s="6">
        <v>0</v>
      </c>
      <c r="K33" s="6">
        <v>0</v>
      </c>
      <c r="L33" s="5" t="s">
        <v>30</v>
      </c>
      <c r="M33" s="6">
        <v>0</v>
      </c>
      <c r="N33" s="12" t="s">
        <v>31</v>
      </c>
      <c r="Q33" s="6">
        <v>0</v>
      </c>
      <c r="R33" s="8">
        <v>1</v>
      </c>
      <c r="S33" s="6">
        <v>223.099214848869</v>
      </c>
      <c r="T33" s="6">
        <v>0</v>
      </c>
      <c r="U33" s="6">
        <v>0</v>
      </c>
      <c r="V33" s="6">
        <v>0</v>
      </c>
      <c r="W33" s="6">
        <v>0</v>
      </c>
      <c r="X33" s="5">
        <v>1</v>
      </c>
      <c r="Y33" s="6" t="s">
        <v>32</v>
      </c>
      <c r="Z33" s="6">
        <v>0</v>
      </c>
      <c r="AA33" s="6">
        <v>0</v>
      </c>
      <c r="AB33" s="6">
        <v>0</v>
      </c>
      <c r="AC33" s="6">
        <v>0</v>
      </c>
      <c r="AD33" s="6">
        <v>1</v>
      </c>
      <c r="AE33" s="5">
        <v>0</v>
      </c>
      <c r="AH33" s="6">
        <v>1</v>
      </c>
      <c r="AI33" s="6">
        <v>1</v>
      </c>
      <c r="AJ33" s="20">
        <v>2.1641256976342601E-6</v>
      </c>
    </row>
    <row r="34" spans="1:36" x14ac:dyDescent="0.3">
      <c r="A34" s="5" t="s">
        <v>278</v>
      </c>
      <c r="B34" s="5" t="s">
        <v>182</v>
      </c>
      <c r="C34" s="5" t="s">
        <v>162</v>
      </c>
      <c r="E34" s="5" t="s">
        <v>74</v>
      </c>
      <c r="F34" s="8">
        <v>0.5</v>
      </c>
      <c r="G34" s="5" t="s">
        <v>30</v>
      </c>
      <c r="H34" s="6">
        <v>0</v>
      </c>
      <c r="I34" s="5" t="s">
        <v>31</v>
      </c>
      <c r="J34" s="6">
        <v>0</v>
      </c>
      <c r="K34" s="6">
        <v>0</v>
      </c>
      <c r="L34" s="5" t="s">
        <v>30</v>
      </c>
      <c r="M34" s="6">
        <v>0</v>
      </c>
      <c r="N34" s="12" t="s">
        <v>31</v>
      </c>
      <c r="Q34" s="6">
        <v>0</v>
      </c>
      <c r="R34" s="8">
        <v>1</v>
      </c>
      <c r="S34" s="6">
        <v>223.099214848869</v>
      </c>
      <c r="T34" s="6">
        <v>0</v>
      </c>
      <c r="U34" s="6">
        <v>0</v>
      </c>
      <c r="V34" s="6">
        <v>0</v>
      </c>
      <c r="W34" s="6">
        <v>0</v>
      </c>
      <c r="X34" s="5">
        <v>1</v>
      </c>
      <c r="Y34" s="6" t="s">
        <v>32</v>
      </c>
      <c r="Z34" s="6">
        <v>0</v>
      </c>
      <c r="AA34" s="6">
        <v>0</v>
      </c>
      <c r="AB34" s="6">
        <v>0</v>
      </c>
      <c r="AC34" s="6">
        <v>0</v>
      </c>
      <c r="AD34" s="6">
        <v>1</v>
      </c>
      <c r="AE34" s="5">
        <v>0</v>
      </c>
      <c r="AH34" s="6">
        <v>1</v>
      </c>
      <c r="AI34" s="6">
        <v>1</v>
      </c>
      <c r="AJ34" s="20">
        <v>2.2394691127310598E-6</v>
      </c>
    </row>
    <row r="35" spans="1:36" x14ac:dyDescent="0.3">
      <c r="A35" s="5" t="s">
        <v>279</v>
      </c>
      <c r="B35" s="5" t="s">
        <v>183</v>
      </c>
      <c r="C35" s="5" t="s">
        <v>163</v>
      </c>
      <c r="E35" s="5" t="s">
        <v>74</v>
      </c>
      <c r="F35" s="8">
        <v>0.5</v>
      </c>
      <c r="G35" s="5" t="s">
        <v>30</v>
      </c>
      <c r="H35" s="6">
        <v>0</v>
      </c>
      <c r="I35" s="5" t="s">
        <v>31</v>
      </c>
      <c r="J35" s="6">
        <v>0</v>
      </c>
      <c r="K35" s="6">
        <v>0</v>
      </c>
      <c r="L35" s="5" t="s">
        <v>30</v>
      </c>
      <c r="M35" s="6">
        <v>0</v>
      </c>
      <c r="N35" s="12" t="s">
        <v>31</v>
      </c>
      <c r="Q35" s="6">
        <v>0</v>
      </c>
      <c r="R35" s="8">
        <v>1</v>
      </c>
      <c r="S35" s="6">
        <v>223.099214848869</v>
      </c>
      <c r="T35" s="6">
        <v>0</v>
      </c>
      <c r="U35" s="6">
        <v>0</v>
      </c>
      <c r="V35" s="6">
        <v>0</v>
      </c>
      <c r="W35" s="6">
        <v>0</v>
      </c>
      <c r="X35" s="5">
        <v>1</v>
      </c>
      <c r="Y35" s="6" t="s">
        <v>32</v>
      </c>
      <c r="Z35" s="6">
        <v>0</v>
      </c>
      <c r="AA35" s="6">
        <v>0</v>
      </c>
      <c r="AB35" s="6">
        <v>0</v>
      </c>
      <c r="AC35" s="6">
        <v>0</v>
      </c>
      <c r="AD35" s="6">
        <v>1</v>
      </c>
      <c r="AE35" s="5">
        <v>0</v>
      </c>
      <c r="AH35" s="6">
        <v>1</v>
      </c>
      <c r="AI35" s="6">
        <v>1</v>
      </c>
      <c r="AJ35" s="20">
        <v>2.3097706220430998E-6</v>
      </c>
    </row>
    <row r="36" spans="1:36" x14ac:dyDescent="0.3">
      <c r="A36" s="5" t="s">
        <v>280</v>
      </c>
      <c r="B36" s="5" t="s">
        <v>184</v>
      </c>
      <c r="C36" s="5" t="s">
        <v>164</v>
      </c>
      <c r="E36" s="5" t="s">
        <v>74</v>
      </c>
      <c r="F36" s="8">
        <v>0.5</v>
      </c>
      <c r="G36" s="5" t="s">
        <v>30</v>
      </c>
      <c r="H36" s="6">
        <v>0</v>
      </c>
      <c r="I36" s="5" t="s">
        <v>31</v>
      </c>
      <c r="J36" s="6">
        <v>0</v>
      </c>
      <c r="K36" s="6">
        <v>0</v>
      </c>
      <c r="L36" s="5" t="s">
        <v>30</v>
      </c>
      <c r="M36" s="6">
        <v>0</v>
      </c>
      <c r="N36" s="12" t="s">
        <v>31</v>
      </c>
      <c r="Q36" s="6">
        <v>0</v>
      </c>
      <c r="R36" s="8">
        <v>1</v>
      </c>
      <c r="S36" s="6">
        <v>223.099214848869</v>
      </c>
      <c r="T36" s="6">
        <v>0</v>
      </c>
      <c r="U36" s="6">
        <v>0</v>
      </c>
      <c r="V36" s="6">
        <v>0</v>
      </c>
      <c r="W36" s="6">
        <v>0</v>
      </c>
      <c r="X36" s="5">
        <v>1</v>
      </c>
      <c r="Y36" s="6" t="s">
        <v>32</v>
      </c>
      <c r="Z36" s="6">
        <v>0</v>
      </c>
      <c r="AA36" s="6">
        <v>0</v>
      </c>
      <c r="AB36" s="6">
        <v>0</v>
      </c>
      <c r="AC36" s="6">
        <v>0</v>
      </c>
      <c r="AD36" s="6">
        <v>1</v>
      </c>
      <c r="AE36" s="5">
        <v>0</v>
      </c>
      <c r="AH36" s="6">
        <v>1</v>
      </c>
      <c r="AI36" s="6">
        <v>1</v>
      </c>
      <c r="AJ36" s="20">
        <v>2.1778961815804399E-6</v>
      </c>
    </row>
    <row r="37" spans="1:36" x14ac:dyDescent="0.3">
      <c r="A37" s="5" t="s">
        <v>281</v>
      </c>
      <c r="B37" s="5" t="s">
        <v>185</v>
      </c>
      <c r="C37" s="5" t="s">
        <v>165</v>
      </c>
      <c r="E37" s="5" t="s">
        <v>74</v>
      </c>
      <c r="F37" s="8">
        <v>0.5</v>
      </c>
      <c r="G37" s="5" t="s">
        <v>30</v>
      </c>
      <c r="H37" s="6">
        <v>0</v>
      </c>
      <c r="I37" s="5" t="s">
        <v>31</v>
      </c>
      <c r="J37" s="6">
        <v>0</v>
      </c>
      <c r="K37" s="6">
        <v>0</v>
      </c>
      <c r="L37" s="5" t="s">
        <v>30</v>
      </c>
      <c r="M37" s="6">
        <v>0</v>
      </c>
      <c r="N37" s="12" t="s">
        <v>31</v>
      </c>
      <c r="Q37" s="6">
        <v>0</v>
      </c>
      <c r="R37" s="8">
        <v>1</v>
      </c>
      <c r="S37" s="6">
        <v>223.099214848869</v>
      </c>
      <c r="T37" s="6">
        <v>0</v>
      </c>
      <c r="U37" s="6">
        <v>0</v>
      </c>
      <c r="V37" s="6">
        <v>0</v>
      </c>
      <c r="W37" s="6">
        <v>0</v>
      </c>
      <c r="X37" s="5">
        <v>1</v>
      </c>
      <c r="Y37" s="6" t="s">
        <v>32</v>
      </c>
      <c r="Z37" s="6">
        <v>0</v>
      </c>
      <c r="AA37" s="6">
        <v>0</v>
      </c>
      <c r="AB37" s="6">
        <v>0</v>
      </c>
      <c r="AC37" s="6">
        <v>0</v>
      </c>
      <c r="AD37" s="6">
        <v>1</v>
      </c>
      <c r="AE37" s="5">
        <v>0</v>
      </c>
      <c r="AH37" s="6">
        <v>1</v>
      </c>
      <c r="AI37" s="6">
        <v>1</v>
      </c>
      <c r="AJ37" s="20">
        <v>2.5598813405146999E-6</v>
      </c>
    </row>
    <row r="38" spans="1:36" x14ac:dyDescent="0.3">
      <c r="A38" s="5" t="s">
        <v>282</v>
      </c>
      <c r="B38" s="5" t="s">
        <v>186</v>
      </c>
      <c r="C38" s="5" t="s">
        <v>166</v>
      </c>
      <c r="E38" s="5" t="s">
        <v>74</v>
      </c>
      <c r="F38" s="8">
        <v>0.5</v>
      </c>
      <c r="G38" s="5" t="s">
        <v>30</v>
      </c>
      <c r="H38" s="6">
        <v>0</v>
      </c>
      <c r="I38" s="5" t="s">
        <v>31</v>
      </c>
      <c r="J38" s="6">
        <v>0</v>
      </c>
      <c r="K38" s="6">
        <v>0</v>
      </c>
      <c r="L38" s="5" t="s">
        <v>30</v>
      </c>
      <c r="M38" s="6">
        <v>0</v>
      </c>
      <c r="N38" s="12" t="s">
        <v>31</v>
      </c>
      <c r="Q38" s="6">
        <v>0</v>
      </c>
      <c r="R38" s="8">
        <v>1</v>
      </c>
      <c r="S38" s="6">
        <v>223.099214848869</v>
      </c>
      <c r="T38" s="6">
        <v>0</v>
      </c>
      <c r="U38" s="6">
        <v>0</v>
      </c>
      <c r="V38" s="6">
        <v>0</v>
      </c>
      <c r="W38" s="6">
        <v>0</v>
      </c>
      <c r="X38" s="5">
        <v>1</v>
      </c>
      <c r="Y38" s="6" t="s">
        <v>32</v>
      </c>
      <c r="Z38" s="6">
        <v>0</v>
      </c>
      <c r="AA38" s="6">
        <v>0</v>
      </c>
      <c r="AB38" s="6">
        <v>0</v>
      </c>
      <c r="AC38" s="6">
        <v>0</v>
      </c>
      <c r="AD38" s="6">
        <v>1</v>
      </c>
      <c r="AE38" s="5">
        <v>0</v>
      </c>
      <c r="AH38" s="6">
        <v>1</v>
      </c>
      <c r="AI38" s="6">
        <v>1</v>
      </c>
      <c r="AJ38" s="20">
        <v>2.2422921382108102E-6</v>
      </c>
    </row>
    <row r="39" spans="1:36" x14ac:dyDescent="0.3">
      <c r="A39" s="5" t="s">
        <v>283</v>
      </c>
      <c r="B39" s="5" t="s">
        <v>187</v>
      </c>
      <c r="C39" s="5" t="s">
        <v>167</v>
      </c>
      <c r="E39" s="5" t="s">
        <v>74</v>
      </c>
      <c r="F39" s="8">
        <v>0.5</v>
      </c>
      <c r="G39" s="5" t="s">
        <v>30</v>
      </c>
      <c r="H39" s="6">
        <v>0</v>
      </c>
      <c r="I39" s="5" t="s">
        <v>31</v>
      </c>
      <c r="J39" s="6">
        <v>0</v>
      </c>
      <c r="K39" s="6">
        <v>0</v>
      </c>
      <c r="L39" s="5" t="s">
        <v>30</v>
      </c>
      <c r="M39" s="6">
        <v>0</v>
      </c>
      <c r="N39" s="12" t="s">
        <v>31</v>
      </c>
      <c r="Q39" s="6">
        <v>0</v>
      </c>
      <c r="R39" s="8">
        <v>1</v>
      </c>
      <c r="S39" s="6">
        <v>223.099214848869</v>
      </c>
      <c r="T39" s="6">
        <v>0</v>
      </c>
      <c r="U39" s="6">
        <v>0</v>
      </c>
      <c r="V39" s="6">
        <v>0</v>
      </c>
      <c r="W39" s="6">
        <v>0</v>
      </c>
      <c r="X39" s="5">
        <v>1</v>
      </c>
      <c r="Y39" s="6" t="s">
        <v>32</v>
      </c>
      <c r="Z39" s="6">
        <v>0</v>
      </c>
      <c r="AA39" s="6">
        <v>0</v>
      </c>
      <c r="AB39" s="6">
        <v>0</v>
      </c>
      <c r="AC39" s="6">
        <v>0</v>
      </c>
      <c r="AD39" s="6">
        <v>1</v>
      </c>
      <c r="AE39" s="5">
        <v>0</v>
      </c>
      <c r="AH39" s="6">
        <v>1</v>
      </c>
      <c r="AI39" s="6">
        <v>1</v>
      </c>
      <c r="AJ39" s="20">
        <v>2.1822583392797E-6</v>
      </c>
    </row>
    <row r="40" spans="1:36" x14ac:dyDescent="0.3">
      <c r="A40" s="5" t="s">
        <v>284</v>
      </c>
      <c r="B40" s="5" t="s">
        <v>188</v>
      </c>
      <c r="C40" s="5" t="s">
        <v>168</v>
      </c>
      <c r="E40" s="5" t="s">
        <v>74</v>
      </c>
      <c r="F40" s="8">
        <v>0.5</v>
      </c>
      <c r="G40" s="5" t="s">
        <v>30</v>
      </c>
      <c r="H40" s="6">
        <v>0</v>
      </c>
      <c r="I40" s="5" t="s">
        <v>31</v>
      </c>
      <c r="J40" s="6">
        <v>0</v>
      </c>
      <c r="K40" s="6">
        <v>0</v>
      </c>
      <c r="L40" s="5" t="s">
        <v>30</v>
      </c>
      <c r="M40" s="6">
        <v>0</v>
      </c>
      <c r="N40" s="12" t="s">
        <v>31</v>
      </c>
      <c r="Q40" s="6">
        <v>0</v>
      </c>
      <c r="R40" s="8">
        <v>1</v>
      </c>
      <c r="S40" s="6">
        <v>223.099214848869</v>
      </c>
      <c r="T40" s="6">
        <v>0</v>
      </c>
      <c r="U40" s="6">
        <v>0</v>
      </c>
      <c r="V40" s="6">
        <v>0</v>
      </c>
      <c r="W40" s="6">
        <v>0</v>
      </c>
      <c r="X40" s="5">
        <v>1</v>
      </c>
      <c r="Y40" s="6" t="s">
        <v>32</v>
      </c>
      <c r="Z40" s="6">
        <v>0</v>
      </c>
      <c r="AA40" s="6">
        <v>0</v>
      </c>
      <c r="AB40" s="6">
        <v>0</v>
      </c>
      <c r="AC40" s="6">
        <v>0</v>
      </c>
      <c r="AD40" s="6">
        <v>1</v>
      </c>
      <c r="AE40" s="5">
        <v>0</v>
      </c>
      <c r="AH40" s="6">
        <v>1</v>
      </c>
      <c r="AI40" s="6">
        <v>1</v>
      </c>
      <c r="AJ40" s="20">
        <v>2.0109956607322598E-6</v>
      </c>
    </row>
    <row r="41" spans="1:36" x14ac:dyDescent="0.3">
      <c r="A41" s="5" t="s">
        <v>285</v>
      </c>
      <c r="B41" s="5" t="s">
        <v>189</v>
      </c>
      <c r="C41" s="5" t="s">
        <v>169</v>
      </c>
      <c r="E41" s="5" t="s">
        <v>74</v>
      </c>
      <c r="F41" s="8">
        <v>0.5</v>
      </c>
      <c r="G41" s="5" t="s">
        <v>30</v>
      </c>
      <c r="H41" s="6">
        <v>0</v>
      </c>
      <c r="I41" s="5" t="s">
        <v>31</v>
      </c>
      <c r="J41" s="6">
        <v>0</v>
      </c>
      <c r="K41" s="6">
        <v>0</v>
      </c>
      <c r="L41" s="5" t="s">
        <v>30</v>
      </c>
      <c r="M41" s="6">
        <v>0</v>
      </c>
      <c r="N41" s="12" t="s">
        <v>31</v>
      </c>
      <c r="Q41" s="6">
        <v>0</v>
      </c>
      <c r="R41" s="8">
        <v>1</v>
      </c>
      <c r="S41" s="6">
        <v>223.099214848869</v>
      </c>
      <c r="T41" s="6">
        <v>0</v>
      </c>
      <c r="U41" s="6">
        <v>0</v>
      </c>
      <c r="V41" s="6">
        <v>0</v>
      </c>
      <c r="W41" s="6">
        <v>0</v>
      </c>
      <c r="X41" s="5">
        <v>1</v>
      </c>
      <c r="Y41" s="6" t="s">
        <v>32</v>
      </c>
      <c r="Z41" s="6">
        <v>0</v>
      </c>
      <c r="AA41" s="6">
        <v>0</v>
      </c>
      <c r="AB41" s="6">
        <v>0</v>
      </c>
      <c r="AC41" s="6">
        <v>0</v>
      </c>
      <c r="AD41" s="6">
        <v>1</v>
      </c>
      <c r="AE41" s="5">
        <v>0</v>
      </c>
      <c r="AH41" s="6">
        <v>1</v>
      </c>
      <c r="AI41" s="6">
        <v>1</v>
      </c>
      <c r="AJ41" s="20">
        <v>2.1502525471597698E-6</v>
      </c>
    </row>
    <row r="42" spans="1:36" x14ac:dyDescent="0.3">
      <c r="A42" s="5" t="s">
        <v>286</v>
      </c>
      <c r="B42" s="5" t="s">
        <v>190</v>
      </c>
      <c r="C42" s="5" t="s">
        <v>170</v>
      </c>
      <c r="E42" s="5" t="s">
        <v>74</v>
      </c>
      <c r="F42" s="8">
        <v>0.5</v>
      </c>
      <c r="G42" s="5" t="s">
        <v>30</v>
      </c>
      <c r="H42" s="6">
        <v>0</v>
      </c>
      <c r="I42" s="5" t="s">
        <v>31</v>
      </c>
      <c r="J42" s="6">
        <v>0</v>
      </c>
      <c r="K42" s="6">
        <v>0</v>
      </c>
      <c r="L42" s="5" t="s">
        <v>30</v>
      </c>
      <c r="M42" s="6">
        <v>0</v>
      </c>
      <c r="N42" s="12" t="s">
        <v>31</v>
      </c>
      <c r="Q42" s="6">
        <v>0</v>
      </c>
      <c r="R42" s="8">
        <v>1</v>
      </c>
      <c r="S42" s="6">
        <v>223.099214848869</v>
      </c>
      <c r="T42" s="6">
        <v>0</v>
      </c>
      <c r="U42" s="6">
        <v>0</v>
      </c>
      <c r="V42" s="6">
        <v>0</v>
      </c>
      <c r="W42" s="6">
        <v>0</v>
      </c>
      <c r="X42" s="5">
        <v>1</v>
      </c>
      <c r="Y42" s="6" t="s">
        <v>32</v>
      </c>
      <c r="Z42" s="6">
        <v>0</v>
      </c>
      <c r="AA42" s="6">
        <v>0</v>
      </c>
      <c r="AB42" s="6">
        <v>0</v>
      </c>
      <c r="AC42" s="6">
        <v>0</v>
      </c>
      <c r="AD42" s="6">
        <v>1</v>
      </c>
      <c r="AE42" s="5">
        <v>0</v>
      </c>
      <c r="AH42" s="6">
        <v>1</v>
      </c>
      <c r="AI42" s="6">
        <v>1</v>
      </c>
      <c r="AJ42" s="20">
        <v>2.20351117037047E-6</v>
      </c>
    </row>
    <row r="43" spans="1:36" x14ac:dyDescent="0.3">
      <c r="A43" s="5" t="s">
        <v>287</v>
      </c>
      <c r="B43" s="5" t="s">
        <v>191</v>
      </c>
      <c r="C43" s="5" t="s">
        <v>171</v>
      </c>
      <c r="E43" s="5" t="s">
        <v>74</v>
      </c>
      <c r="F43" s="8">
        <v>0.5</v>
      </c>
      <c r="G43" s="5" t="s">
        <v>30</v>
      </c>
      <c r="H43" s="6">
        <v>0</v>
      </c>
      <c r="I43" s="5" t="s">
        <v>31</v>
      </c>
      <c r="J43" s="6">
        <v>0</v>
      </c>
      <c r="K43" s="6">
        <v>0</v>
      </c>
      <c r="L43" s="5" t="s">
        <v>30</v>
      </c>
      <c r="M43" s="6">
        <v>0</v>
      </c>
      <c r="N43" s="12" t="s">
        <v>31</v>
      </c>
      <c r="Q43" s="6">
        <v>0</v>
      </c>
      <c r="R43" s="8">
        <v>1</v>
      </c>
      <c r="S43" s="6">
        <v>223.099214848869</v>
      </c>
      <c r="T43" s="6">
        <v>0</v>
      </c>
      <c r="U43" s="6">
        <v>0</v>
      </c>
      <c r="V43" s="6">
        <v>0</v>
      </c>
      <c r="W43" s="6">
        <v>0</v>
      </c>
      <c r="X43" s="5">
        <v>1</v>
      </c>
      <c r="Y43" s="6" t="s">
        <v>32</v>
      </c>
      <c r="Z43" s="6">
        <v>0</v>
      </c>
      <c r="AA43" s="6">
        <v>0</v>
      </c>
      <c r="AB43" s="6">
        <v>0</v>
      </c>
      <c r="AC43" s="6">
        <v>0</v>
      </c>
      <c r="AD43" s="6">
        <v>1</v>
      </c>
      <c r="AE43" s="5">
        <v>0</v>
      </c>
      <c r="AH43" s="6">
        <v>1</v>
      </c>
      <c r="AI43" s="6">
        <v>1</v>
      </c>
      <c r="AJ43" s="20">
        <v>2.1443008692894702E-6</v>
      </c>
    </row>
    <row r="44" spans="1:36" x14ac:dyDescent="0.3">
      <c r="A44" s="5" t="s">
        <v>288</v>
      </c>
      <c r="B44" s="5" t="s">
        <v>192</v>
      </c>
      <c r="C44" s="5" t="s">
        <v>172</v>
      </c>
      <c r="E44" s="5" t="s">
        <v>74</v>
      </c>
      <c r="F44" s="8">
        <v>0.5</v>
      </c>
      <c r="G44" s="5" t="s">
        <v>30</v>
      </c>
      <c r="H44" s="6">
        <v>0</v>
      </c>
      <c r="I44" s="5" t="s">
        <v>31</v>
      </c>
      <c r="J44" s="6">
        <v>0</v>
      </c>
      <c r="K44" s="6">
        <v>0</v>
      </c>
      <c r="L44" s="5" t="s">
        <v>30</v>
      </c>
      <c r="M44" s="6">
        <v>0</v>
      </c>
      <c r="N44" s="12" t="s">
        <v>31</v>
      </c>
      <c r="Q44" s="6">
        <v>0</v>
      </c>
      <c r="R44" s="8">
        <v>1</v>
      </c>
      <c r="S44" s="6">
        <v>223.099214848869</v>
      </c>
      <c r="T44" s="6">
        <v>0</v>
      </c>
      <c r="U44" s="6">
        <v>0</v>
      </c>
      <c r="V44" s="6">
        <v>0</v>
      </c>
      <c r="W44" s="6">
        <v>0</v>
      </c>
      <c r="X44" s="5">
        <v>1</v>
      </c>
      <c r="Y44" s="6" t="s">
        <v>32</v>
      </c>
      <c r="Z44" s="6">
        <v>0</v>
      </c>
      <c r="AA44" s="6">
        <v>0</v>
      </c>
      <c r="AB44" s="6">
        <v>0</v>
      </c>
      <c r="AC44" s="6">
        <v>0</v>
      </c>
      <c r="AD44" s="6">
        <v>1</v>
      </c>
      <c r="AE44" s="5">
        <v>0</v>
      </c>
      <c r="AH44" s="6">
        <v>1</v>
      </c>
      <c r="AI44" s="6">
        <v>1</v>
      </c>
      <c r="AJ44" s="20">
        <v>2.1406479576148499E-6</v>
      </c>
    </row>
    <row r="45" spans="1:36" x14ac:dyDescent="0.3">
      <c r="A45" s="5" t="s">
        <v>289</v>
      </c>
      <c r="B45" s="5" t="s">
        <v>193</v>
      </c>
      <c r="C45" s="5" t="s">
        <v>173</v>
      </c>
      <c r="E45" s="5" t="s">
        <v>74</v>
      </c>
      <c r="F45" s="8">
        <v>0.5</v>
      </c>
      <c r="G45" s="5" t="s">
        <v>30</v>
      </c>
      <c r="H45" s="6">
        <v>0</v>
      </c>
      <c r="I45" s="5" t="s">
        <v>31</v>
      </c>
      <c r="J45" s="6">
        <v>0</v>
      </c>
      <c r="K45" s="6">
        <v>0</v>
      </c>
      <c r="L45" s="5" t="s">
        <v>30</v>
      </c>
      <c r="M45" s="6">
        <v>0</v>
      </c>
      <c r="N45" s="12" t="s">
        <v>31</v>
      </c>
      <c r="Q45" s="6">
        <v>0</v>
      </c>
      <c r="R45" s="8">
        <v>1</v>
      </c>
      <c r="S45" s="6">
        <v>223.099214848869</v>
      </c>
      <c r="T45" s="6">
        <v>0</v>
      </c>
      <c r="U45" s="6">
        <v>0</v>
      </c>
      <c r="V45" s="6">
        <v>0</v>
      </c>
      <c r="W45" s="6">
        <v>0</v>
      </c>
      <c r="X45" s="5">
        <v>1</v>
      </c>
      <c r="Y45" s="6" t="s">
        <v>32</v>
      </c>
      <c r="Z45" s="6">
        <v>0</v>
      </c>
      <c r="AA45" s="6">
        <v>0</v>
      </c>
      <c r="AB45" s="6">
        <v>0</v>
      </c>
      <c r="AC45" s="6">
        <v>0</v>
      </c>
      <c r="AD45" s="6">
        <v>1</v>
      </c>
      <c r="AE45" s="5">
        <v>0</v>
      </c>
      <c r="AH45" s="6">
        <v>1</v>
      </c>
      <c r="AI45" s="6">
        <v>1</v>
      </c>
      <c r="AJ45" s="20">
        <v>2.1872501231321399E-6</v>
      </c>
    </row>
    <row r="46" spans="1:36" x14ac:dyDescent="0.3">
      <c r="A46" s="5" t="s">
        <v>290</v>
      </c>
      <c r="B46" s="5" t="s">
        <v>194</v>
      </c>
      <c r="C46" s="5" t="s">
        <v>174</v>
      </c>
      <c r="E46" s="5" t="s">
        <v>74</v>
      </c>
      <c r="F46" s="8">
        <v>0.5</v>
      </c>
      <c r="G46" s="5" t="s">
        <v>30</v>
      </c>
      <c r="H46" s="6">
        <v>0</v>
      </c>
      <c r="I46" s="5" t="s">
        <v>31</v>
      </c>
      <c r="J46" s="6">
        <v>0</v>
      </c>
      <c r="K46" s="6">
        <v>0</v>
      </c>
      <c r="L46" s="5" t="s">
        <v>30</v>
      </c>
      <c r="M46" s="6">
        <v>0</v>
      </c>
      <c r="N46" s="12" t="s">
        <v>31</v>
      </c>
      <c r="Q46" s="6">
        <v>0</v>
      </c>
      <c r="R46" s="8">
        <v>1</v>
      </c>
      <c r="S46" s="6">
        <v>223.099214848869</v>
      </c>
      <c r="T46" s="6">
        <v>0</v>
      </c>
      <c r="U46" s="6">
        <v>0</v>
      </c>
      <c r="V46" s="6">
        <v>0</v>
      </c>
      <c r="W46" s="6">
        <v>0</v>
      </c>
      <c r="X46" s="5">
        <v>1</v>
      </c>
      <c r="Y46" s="6" t="s">
        <v>32</v>
      </c>
      <c r="Z46" s="6">
        <v>0</v>
      </c>
      <c r="AA46" s="6">
        <v>0</v>
      </c>
      <c r="AB46" s="6">
        <v>0</v>
      </c>
      <c r="AC46" s="6">
        <v>0</v>
      </c>
      <c r="AD46" s="6">
        <v>1</v>
      </c>
      <c r="AE46" s="5">
        <v>0</v>
      </c>
      <c r="AH46" s="6">
        <v>1</v>
      </c>
      <c r="AI46" s="6">
        <v>1</v>
      </c>
      <c r="AJ46" s="20">
        <v>2.1011087363165701E-6</v>
      </c>
    </row>
    <row r="47" spans="1:36" x14ac:dyDescent="0.3">
      <c r="A47" s="5" t="s">
        <v>291</v>
      </c>
      <c r="B47" s="5" t="s">
        <v>72</v>
      </c>
      <c r="C47" s="5" t="s">
        <v>195</v>
      </c>
      <c r="E47" s="5" t="s">
        <v>149</v>
      </c>
      <c r="F47" s="8">
        <v>0.97979589711327097</v>
      </c>
      <c r="G47" s="5" t="s">
        <v>30</v>
      </c>
      <c r="H47" s="6">
        <v>0</v>
      </c>
      <c r="I47" s="5" t="s">
        <v>31</v>
      </c>
      <c r="J47" s="6">
        <v>0</v>
      </c>
      <c r="K47" s="6">
        <v>0</v>
      </c>
      <c r="L47" s="5" t="s">
        <v>30</v>
      </c>
      <c r="M47" s="6">
        <v>0</v>
      </c>
      <c r="N47" s="12" t="s">
        <v>31</v>
      </c>
      <c r="Q47" s="6">
        <v>0</v>
      </c>
      <c r="R47" s="8">
        <v>1</v>
      </c>
      <c r="S47" s="6">
        <v>26.4616169425117</v>
      </c>
      <c r="T47" s="6">
        <v>0</v>
      </c>
      <c r="U47" s="6">
        <v>0</v>
      </c>
      <c r="V47" s="6">
        <v>0</v>
      </c>
      <c r="W47" s="6">
        <v>0</v>
      </c>
      <c r="X47" s="5">
        <v>1</v>
      </c>
      <c r="Y47" s="6" t="s">
        <v>32</v>
      </c>
      <c r="Z47" s="6">
        <v>0</v>
      </c>
      <c r="AA47" s="6">
        <v>0</v>
      </c>
      <c r="AB47" s="6">
        <v>0</v>
      </c>
      <c r="AC47" s="6">
        <v>0</v>
      </c>
      <c r="AD47" s="6">
        <v>1</v>
      </c>
      <c r="AE47" s="5">
        <v>0</v>
      </c>
      <c r="AH47" s="6">
        <v>1</v>
      </c>
      <c r="AI47" s="6">
        <v>1</v>
      </c>
      <c r="AJ47" s="5">
        <v>249.31114672943301</v>
      </c>
    </row>
    <row r="48" spans="1:36" x14ac:dyDescent="0.3">
      <c r="A48" s="5" t="s">
        <v>292</v>
      </c>
      <c r="B48" s="5" t="s">
        <v>156</v>
      </c>
      <c r="C48" s="5" t="s">
        <v>196</v>
      </c>
      <c r="E48" s="5" t="s">
        <v>149</v>
      </c>
      <c r="F48" s="8">
        <v>0.97979589711327097</v>
      </c>
      <c r="G48" s="5" t="s">
        <v>30</v>
      </c>
      <c r="H48" s="6">
        <v>0</v>
      </c>
      <c r="I48" s="5" t="s">
        <v>31</v>
      </c>
      <c r="J48" s="6">
        <v>0</v>
      </c>
      <c r="K48" s="6">
        <v>0</v>
      </c>
      <c r="L48" s="5" t="s">
        <v>30</v>
      </c>
      <c r="M48" s="6">
        <v>0</v>
      </c>
      <c r="N48" s="12" t="s">
        <v>31</v>
      </c>
      <c r="Q48" s="6">
        <v>0</v>
      </c>
      <c r="R48" s="8">
        <v>1</v>
      </c>
      <c r="S48" s="6">
        <v>26.4616169425117</v>
      </c>
      <c r="T48" s="6">
        <v>0</v>
      </c>
      <c r="U48" s="6">
        <v>0</v>
      </c>
      <c r="V48" s="6">
        <v>0</v>
      </c>
      <c r="W48" s="6">
        <v>0</v>
      </c>
      <c r="X48" s="5">
        <v>1</v>
      </c>
      <c r="Y48" s="6" t="s">
        <v>32</v>
      </c>
      <c r="Z48" s="6">
        <v>0</v>
      </c>
      <c r="AA48" s="6">
        <v>0</v>
      </c>
      <c r="AB48" s="6">
        <v>0</v>
      </c>
      <c r="AC48" s="6">
        <v>0</v>
      </c>
      <c r="AD48" s="6">
        <v>1</v>
      </c>
      <c r="AE48" s="5">
        <v>0</v>
      </c>
      <c r="AH48" s="6">
        <v>1</v>
      </c>
      <c r="AI48" s="6">
        <v>1</v>
      </c>
      <c r="AJ48" s="5">
        <v>259.16282601494999</v>
      </c>
    </row>
    <row r="49" spans="1:36" x14ac:dyDescent="0.3">
      <c r="A49" s="5" t="s">
        <v>293</v>
      </c>
      <c r="B49" s="5" t="s">
        <v>157</v>
      </c>
      <c r="C49" s="5" t="s">
        <v>197</v>
      </c>
      <c r="E49" s="5" t="s">
        <v>149</v>
      </c>
      <c r="F49" s="8">
        <v>0.97979589711327097</v>
      </c>
      <c r="G49" s="5" t="s">
        <v>30</v>
      </c>
      <c r="H49" s="6">
        <v>0</v>
      </c>
      <c r="I49" s="5" t="s">
        <v>31</v>
      </c>
      <c r="J49" s="6">
        <v>0</v>
      </c>
      <c r="K49" s="6">
        <v>0</v>
      </c>
      <c r="L49" s="5" t="s">
        <v>30</v>
      </c>
      <c r="M49" s="6">
        <v>0</v>
      </c>
      <c r="N49" s="12" t="s">
        <v>31</v>
      </c>
      <c r="Q49" s="6">
        <v>0</v>
      </c>
      <c r="R49" s="8">
        <v>1</v>
      </c>
      <c r="S49" s="6">
        <v>26.4616169425117</v>
      </c>
      <c r="T49" s="6">
        <v>0</v>
      </c>
      <c r="U49" s="6">
        <v>0</v>
      </c>
      <c r="V49" s="6">
        <v>0</v>
      </c>
      <c r="W49" s="6">
        <v>0</v>
      </c>
      <c r="X49" s="5">
        <v>1</v>
      </c>
      <c r="Y49" s="6" t="s">
        <v>32</v>
      </c>
      <c r="Z49" s="6">
        <v>0</v>
      </c>
      <c r="AA49" s="6">
        <v>0</v>
      </c>
      <c r="AB49" s="6">
        <v>0</v>
      </c>
      <c r="AC49" s="6">
        <v>0</v>
      </c>
      <c r="AD49" s="6">
        <v>1</v>
      </c>
      <c r="AE49" s="5">
        <v>0</v>
      </c>
      <c r="AH49" s="6">
        <v>1</v>
      </c>
      <c r="AI49" s="6">
        <v>1</v>
      </c>
      <c r="AJ49" s="5">
        <v>93.410271977821296</v>
      </c>
    </row>
    <row r="50" spans="1:36" x14ac:dyDescent="0.3">
      <c r="A50" s="5" t="s">
        <v>294</v>
      </c>
      <c r="B50" s="5" t="s">
        <v>158</v>
      </c>
      <c r="C50" s="5" t="s">
        <v>198</v>
      </c>
      <c r="E50" s="5" t="s">
        <v>149</v>
      </c>
      <c r="F50" s="8">
        <v>0.97979589711327097</v>
      </c>
      <c r="G50" s="5" t="s">
        <v>30</v>
      </c>
      <c r="H50" s="6">
        <v>0</v>
      </c>
      <c r="I50" s="5" t="s">
        <v>31</v>
      </c>
      <c r="J50" s="6">
        <v>0</v>
      </c>
      <c r="K50" s="6">
        <v>0</v>
      </c>
      <c r="L50" s="5" t="s">
        <v>30</v>
      </c>
      <c r="M50" s="6">
        <v>0</v>
      </c>
      <c r="N50" s="12" t="s">
        <v>31</v>
      </c>
      <c r="Q50" s="6">
        <v>0</v>
      </c>
      <c r="R50" s="8">
        <v>1</v>
      </c>
      <c r="S50" s="6">
        <v>26.4616169425117</v>
      </c>
      <c r="T50" s="6">
        <v>0</v>
      </c>
      <c r="U50" s="6">
        <v>0</v>
      </c>
      <c r="V50" s="6">
        <v>0</v>
      </c>
      <c r="W50" s="6">
        <v>0</v>
      </c>
      <c r="X50" s="5">
        <v>1</v>
      </c>
      <c r="Y50" s="6" t="s">
        <v>32</v>
      </c>
      <c r="Z50" s="6">
        <v>0</v>
      </c>
      <c r="AA50" s="6">
        <v>0</v>
      </c>
      <c r="AB50" s="6">
        <v>0</v>
      </c>
      <c r="AC50" s="6">
        <v>0</v>
      </c>
      <c r="AD50" s="6">
        <v>1</v>
      </c>
      <c r="AE50" s="5">
        <v>0</v>
      </c>
      <c r="AH50" s="6">
        <v>1</v>
      </c>
      <c r="AI50" s="6">
        <v>1</v>
      </c>
      <c r="AJ50" s="5">
        <v>262.37922303757102</v>
      </c>
    </row>
    <row r="51" spans="1:36" x14ac:dyDescent="0.3">
      <c r="A51" s="5" t="s">
        <v>295</v>
      </c>
      <c r="B51" s="5" t="s">
        <v>159</v>
      </c>
      <c r="C51" s="5" t="s">
        <v>199</v>
      </c>
      <c r="E51" s="5" t="s">
        <v>149</v>
      </c>
      <c r="F51" s="8">
        <v>0.97979589711327097</v>
      </c>
      <c r="G51" s="5" t="s">
        <v>30</v>
      </c>
      <c r="H51" s="6">
        <v>0</v>
      </c>
      <c r="I51" s="5" t="s">
        <v>31</v>
      </c>
      <c r="J51" s="6">
        <v>0</v>
      </c>
      <c r="K51" s="6">
        <v>0</v>
      </c>
      <c r="L51" s="5" t="s">
        <v>30</v>
      </c>
      <c r="M51" s="6">
        <v>0</v>
      </c>
      <c r="N51" s="12" t="s">
        <v>31</v>
      </c>
      <c r="Q51" s="6">
        <v>0</v>
      </c>
      <c r="R51" s="8">
        <v>1</v>
      </c>
      <c r="S51" s="6">
        <v>26.4616169425117</v>
      </c>
      <c r="T51" s="6">
        <v>0</v>
      </c>
      <c r="U51" s="6">
        <v>0</v>
      </c>
      <c r="V51" s="6">
        <v>0</v>
      </c>
      <c r="W51" s="6">
        <v>0</v>
      </c>
      <c r="X51" s="5">
        <v>1</v>
      </c>
      <c r="Y51" s="6" t="s">
        <v>32</v>
      </c>
      <c r="Z51" s="6">
        <v>0</v>
      </c>
      <c r="AA51" s="6">
        <v>0</v>
      </c>
      <c r="AB51" s="6">
        <v>0</v>
      </c>
      <c r="AC51" s="6">
        <v>0</v>
      </c>
      <c r="AD51" s="6">
        <v>1</v>
      </c>
      <c r="AE51" s="5">
        <v>0</v>
      </c>
      <c r="AH51" s="6">
        <v>1</v>
      </c>
      <c r="AI51" s="6">
        <v>1</v>
      </c>
      <c r="AJ51" s="5">
        <v>95.126399060948998</v>
      </c>
    </row>
    <row r="52" spans="1:36" x14ac:dyDescent="0.3">
      <c r="A52" s="5" t="s">
        <v>296</v>
      </c>
      <c r="B52" s="5" t="s">
        <v>160</v>
      </c>
      <c r="C52" s="5" t="s">
        <v>200</v>
      </c>
      <c r="E52" s="5" t="s">
        <v>149</v>
      </c>
      <c r="F52" s="8">
        <v>0.97979589711327097</v>
      </c>
      <c r="G52" s="5" t="s">
        <v>30</v>
      </c>
      <c r="H52" s="6">
        <v>0</v>
      </c>
      <c r="I52" s="5" t="s">
        <v>31</v>
      </c>
      <c r="J52" s="6">
        <v>0</v>
      </c>
      <c r="K52" s="6">
        <v>0</v>
      </c>
      <c r="L52" s="5" t="s">
        <v>30</v>
      </c>
      <c r="M52" s="6">
        <v>0</v>
      </c>
      <c r="N52" s="12" t="s">
        <v>31</v>
      </c>
      <c r="Q52" s="6">
        <v>0</v>
      </c>
      <c r="R52" s="8">
        <v>1</v>
      </c>
      <c r="S52" s="6">
        <v>26.4616169425117</v>
      </c>
      <c r="T52" s="6">
        <v>0</v>
      </c>
      <c r="U52" s="6">
        <v>0</v>
      </c>
      <c r="V52" s="6">
        <v>0</v>
      </c>
      <c r="W52" s="6">
        <v>0</v>
      </c>
      <c r="X52" s="5">
        <v>1</v>
      </c>
      <c r="Y52" s="6" t="s">
        <v>32</v>
      </c>
      <c r="Z52" s="6">
        <v>0</v>
      </c>
      <c r="AA52" s="6">
        <v>0</v>
      </c>
      <c r="AB52" s="6">
        <v>0</v>
      </c>
      <c r="AC52" s="6">
        <v>0</v>
      </c>
      <c r="AD52" s="6">
        <v>1</v>
      </c>
      <c r="AE52" s="5">
        <v>0</v>
      </c>
      <c r="AH52" s="6">
        <v>1</v>
      </c>
      <c r="AI52" s="6">
        <v>1</v>
      </c>
      <c r="AJ52" s="5">
        <v>89.105462723344402</v>
      </c>
    </row>
    <row r="53" spans="1:36" x14ac:dyDescent="0.3">
      <c r="A53" s="5" t="s">
        <v>297</v>
      </c>
      <c r="B53" s="5" t="s">
        <v>161</v>
      </c>
      <c r="C53" s="5" t="s">
        <v>201</v>
      </c>
      <c r="E53" s="5" t="s">
        <v>149</v>
      </c>
      <c r="F53" s="8">
        <v>0.97979589711327097</v>
      </c>
      <c r="G53" s="5" t="s">
        <v>30</v>
      </c>
      <c r="H53" s="6">
        <v>0</v>
      </c>
      <c r="I53" s="5" t="s">
        <v>31</v>
      </c>
      <c r="J53" s="6">
        <v>0</v>
      </c>
      <c r="K53" s="6">
        <v>0</v>
      </c>
      <c r="L53" s="5" t="s">
        <v>30</v>
      </c>
      <c r="M53" s="6">
        <v>0</v>
      </c>
      <c r="N53" s="12" t="s">
        <v>31</v>
      </c>
      <c r="Q53" s="6">
        <v>0</v>
      </c>
      <c r="R53" s="8">
        <v>1</v>
      </c>
      <c r="S53" s="6">
        <v>26.4616169425117</v>
      </c>
      <c r="T53" s="6">
        <v>0</v>
      </c>
      <c r="U53" s="6">
        <v>0</v>
      </c>
      <c r="V53" s="6">
        <v>0</v>
      </c>
      <c r="W53" s="6">
        <v>0</v>
      </c>
      <c r="X53" s="5">
        <v>1</v>
      </c>
      <c r="Y53" s="6" t="s">
        <v>32</v>
      </c>
      <c r="Z53" s="6">
        <v>0</v>
      </c>
      <c r="AA53" s="6">
        <v>0</v>
      </c>
      <c r="AB53" s="6">
        <v>0</v>
      </c>
      <c r="AC53" s="6">
        <v>0</v>
      </c>
      <c r="AD53" s="6">
        <v>1</v>
      </c>
      <c r="AE53" s="5">
        <v>0</v>
      </c>
      <c r="AH53" s="6">
        <v>1</v>
      </c>
      <c r="AI53" s="6">
        <v>1</v>
      </c>
      <c r="AJ53" s="5">
        <v>250.27365130080699</v>
      </c>
    </row>
    <row r="54" spans="1:36" x14ac:dyDescent="0.3">
      <c r="A54" s="5" t="s">
        <v>298</v>
      </c>
      <c r="B54" s="5" t="s">
        <v>162</v>
      </c>
      <c r="C54" s="5" t="s">
        <v>202</v>
      </c>
      <c r="E54" s="5" t="s">
        <v>149</v>
      </c>
      <c r="F54" s="8">
        <v>0.97979589711327097</v>
      </c>
      <c r="G54" s="5" t="s">
        <v>30</v>
      </c>
      <c r="H54" s="6">
        <v>0</v>
      </c>
      <c r="I54" s="5" t="s">
        <v>31</v>
      </c>
      <c r="J54" s="6">
        <v>0</v>
      </c>
      <c r="K54" s="6">
        <v>0</v>
      </c>
      <c r="L54" s="5" t="s">
        <v>30</v>
      </c>
      <c r="M54" s="6">
        <v>0</v>
      </c>
      <c r="N54" s="12" t="s">
        <v>31</v>
      </c>
      <c r="Q54" s="6">
        <v>0</v>
      </c>
      <c r="R54" s="8">
        <v>1</v>
      </c>
      <c r="S54" s="6">
        <v>26.4616169425117</v>
      </c>
      <c r="T54" s="6">
        <v>0</v>
      </c>
      <c r="U54" s="6">
        <v>0</v>
      </c>
      <c r="V54" s="6">
        <v>0</v>
      </c>
      <c r="W54" s="6">
        <v>0</v>
      </c>
      <c r="X54" s="5">
        <v>1</v>
      </c>
      <c r="Y54" s="6" t="s">
        <v>32</v>
      </c>
      <c r="Z54" s="6">
        <v>0</v>
      </c>
      <c r="AA54" s="6">
        <v>0</v>
      </c>
      <c r="AB54" s="6">
        <v>0</v>
      </c>
      <c r="AC54" s="6">
        <v>0</v>
      </c>
      <c r="AD54" s="6">
        <v>1</v>
      </c>
      <c r="AE54" s="5">
        <v>0</v>
      </c>
      <c r="AH54" s="6">
        <v>1</v>
      </c>
      <c r="AI54" s="6">
        <v>1</v>
      </c>
      <c r="AJ54" s="5">
        <v>92.208319049980403</v>
      </c>
    </row>
    <row r="55" spans="1:36" x14ac:dyDescent="0.3">
      <c r="A55" s="5" t="s">
        <v>299</v>
      </c>
      <c r="B55" s="5" t="s">
        <v>163</v>
      </c>
      <c r="C55" s="5" t="s">
        <v>203</v>
      </c>
      <c r="E55" s="5" t="s">
        <v>149</v>
      </c>
      <c r="F55" s="8">
        <v>0.97979589711327097</v>
      </c>
      <c r="G55" s="5" t="s">
        <v>30</v>
      </c>
      <c r="H55" s="6">
        <v>0</v>
      </c>
      <c r="I55" s="5" t="s">
        <v>31</v>
      </c>
      <c r="J55" s="6">
        <v>0</v>
      </c>
      <c r="K55" s="6">
        <v>0</v>
      </c>
      <c r="L55" s="5" t="s">
        <v>30</v>
      </c>
      <c r="M55" s="6">
        <v>0</v>
      </c>
      <c r="N55" s="12" t="s">
        <v>31</v>
      </c>
      <c r="Q55" s="6">
        <v>0</v>
      </c>
      <c r="R55" s="8">
        <v>1</v>
      </c>
      <c r="S55" s="6">
        <v>26.4616169425117</v>
      </c>
      <c r="T55" s="6">
        <v>0</v>
      </c>
      <c r="U55" s="6">
        <v>0</v>
      </c>
      <c r="V55" s="6">
        <v>0</v>
      </c>
      <c r="W55" s="6">
        <v>0</v>
      </c>
      <c r="X55" s="5">
        <v>1</v>
      </c>
      <c r="Y55" s="6" t="s">
        <v>32</v>
      </c>
      <c r="Z55" s="6">
        <v>0</v>
      </c>
      <c r="AA55" s="6">
        <v>0</v>
      </c>
      <c r="AB55" s="6">
        <v>0</v>
      </c>
      <c r="AC55" s="6">
        <v>0</v>
      </c>
      <c r="AD55" s="6">
        <v>1</v>
      </c>
      <c r="AE55" s="5">
        <v>0</v>
      </c>
      <c r="AH55" s="6">
        <v>1</v>
      </c>
      <c r="AI55" s="6">
        <v>1</v>
      </c>
      <c r="AJ55" s="5">
        <v>88.425151130345697</v>
      </c>
    </row>
    <row r="56" spans="1:36" x14ac:dyDescent="0.3">
      <c r="A56" s="5" t="s">
        <v>300</v>
      </c>
      <c r="B56" s="5" t="s">
        <v>164</v>
      </c>
      <c r="C56" s="5" t="s">
        <v>204</v>
      </c>
      <c r="E56" s="5" t="s">
        <v>149</v>
      </c>
      <c r="F56" s="8">
        <v>0.97979589711327097</v>
      </c>
      <c r="G56" s="5" t="s">
        <v>30</v>
      </c>
      <c r="H56" s="6">
        <v>0</v>
      </c>
      <c r="I56" s="5" t="s">
        <v>31</v>
      </c>
      <c r="J56" s="6">
        <v>0</v>
      </c>
      <c r="K56" s="6">
        <v>0</v>
      </c>
      <c r="L56" s="5" t="s">
        <v>30</v>
      </c>
      <c r="M56" s="6">
        <v>0</v>
      </c>
      <c r="N56" s="12" t="s">
        <v>31</v>
      </c>
      <c r="Q56" s="6">
        <v>0</v>
      </c>
      <c r="R56" s="8">
        <v>1</v>
      </c>
      <c r="S56" s="6">
        <v>26.4616169425117</v>
      </c>
      <c r="T56" s="6">
        <v>0</v>
      </c>
      <c r="U56" s="6">
        <v>0</v>
      </c>
      <c r="V56" s="6">
        <v>0</v>
      </c>
      <c r="W56" s="6">
        <v>0</v>
      </c>
      <c r="X56" s="5">
        <v>1</v>
      </c>
      <c r="Y56" s="6" t="s">
        <v>32</v>
      </c>
      <c r="Z56" s="6">
        <v>0</v>
      </c>
      <c r="AA56" s="6">
        <v>0</v>
      </c>
      <c r="AB56" s="6">
        <v>0</v>
      </c>
      <c r="AC56" s="6">
        <v>0</v>
      </c>
      <c r="AD56" s="6">
        <v>1</v>
      </c>
      <c r="AE56" s="5">
        <v>0</v>
      </c>
      <c r="AH56" s="6">
        <v>1</v>
      </c>
      <c r="AI56" s="6">
        <v>1</v>
      </c>
      <c r="AJ56" s="5">
        <v>1538.3948565471801</v>
      </c>
    </row>
    <row r="57" spans="1:36" x14ac:dyDescent="0.3">
      <c r="A57" s="5" t="s">
        <v>301</v>
      </c>
      <c r="B57" s="5" t="s">
        <v>165</v>
      </c>
      <c r="C57" s="5" t="s">
        <v>205</v>
      </c>
      <c r="E57" s="5" t="s">
        <v>149</v>
      </c>
      <c r="F57" s="8">
        <v>0.97979589711327097</v>
      </c>
      <c r="G57" s="5" t="s">
        <v>30</v>
      </c>
      <c r="H57" s="6">
        <v>0</v>
      </c>
      <c r="I57" s="5" t="s">
        <v>31</v>
      </c>
      <c r="J57" s="6">
        <v>0</v>
      </c>
      <c r="K57" s="6">
        <v>0</v>
      </c>
      <c r="L57" s="5" t="s">
        <v>30</v>
      </c>
      <c r="M57" s="6">
        <v>0</v>
      </c>
      <c r="N57" s="12" t="s">
        <v>31</v>
      </c>
      <c r="Q57" s="6">
        <v>0</v>
      </c>
      <c r="R57" s="8">
        <v>1</v>
      </c>
      <c r="S57" s="6">
        <v>26.4616169425117</v>
      </c>
      <c r="T57" s="6">
        <v>0</v>
      </c>
      <c r="U57" s="6">
        <v>0</v>
      </c>
      <c r="V57" s="6">
        <v>0</v>
      </c>
      <c r="W57" s="6">
        <v>0</v>
      </c>
      <c r="X57" s="5">
        <v>1</v>
      </c>
      <c r="Y57" s="6" t="s">
        <v>32</v>
      </c>
      <c r="Z57" s="6">
        <v>0</v>
      </c>
      <c r="AA57" s="6">
        <v>0</v>
      </c>
      <c r="AB57" s="6">
        <v>0</v>
      </c>
      <c r="AC57" s="6">
        <v>0</v>
      </c>
      <c r="AD57" s="6">
        <v>1</v>
      </c>
      <c r="AE57" s="5">
        <v>0</v>
      </c>
      <c r="AH57" s="6">
        <v>1</v>
      </c>
      <c r="AI57" s="6">
        <v>1</v>
      </c>
      <c r="AJ57" s="5">
        <v>94.980033736124994</v>
      </c>
    </row>
    <row r="58" spans="1:36" x14ac:dyDescent="0.3">
      <c r="A58" s="5" t="s">
        <v>302</v>
      </c>
      <c r="B58" s="5" t="s">
        <v>166</v>
      </c>
      <c r="C58" s="5" t="s">
        <v>206</v>
      </c>
      <c r="E58" s="5" t="s">
        <v>149</v>
      </c>
      <c r="F58" s="8">
        <v>0.97979589711327097</v>
      </c>
      <c r="G58" s="5" t="s">
        <v>30</v>
      </c>
      <c r="H58" s="6">
        <v>0</v>
      </c>
      <c r="I58" s="5" t="s">
        <v>31</v>
      </c>
      <c r="J58" s="6">
        <v>0</v>
      </c>
      <c r="K58" s="6">
        <v>0</v>
      </c>
      <c r="L58" s="5" t="s">
        <v>30</v>
      </c>
      <c r="M58" s="6">
        <v>0</v>
      </c>
      <c r="N58" s="12" t="s">
        <v>31</v>
      </c>
      <c r="Q58" s="6">
        <v>0</v>
      </c>
      <c r="R58" s="8">
        <v>1</v>
      </c>
      <c r="S58" s="6">
        <v>26.4616169425117</v>
      </c>
      <c r="T58" s="6">
        <v>0</v>
      </c>
      <c r="U58" s="6">
        <v>0</v>
      </c>
      <c r="V58" s="6">
        <v>0</v>
      </c>
      <c r="W58" s="6">
        <v>0</v>
      </c>
      <c r="X58" s="5">
        <v>1</v>
      </c>
      <c r="Y58" s="6" t="s">
        <v>32</v>
      </c>
      <c r="Z58" s="6">
        <v>0</v>
      </c>
      <c r="AA58" s="6">
        <v>0</v>
      </c>
      <c r="AB58" s="6">
        <v>0</v>
      </c>
      <c r="AC58" s="6">
        <v>0</v>
      </c>
      <c r="AD58" s="6">
        <v>1</v>
      </c>
      <c r="AE58" s="5">
        <v>0</v>
      </c>
      <c r="AH58" s="6">
        <v>1</v>
      </c>
      <c r="AI58" s="6">
        <v>1</v>
      </c>
      <c r="AJ58" s="5">
        <v>92.546075243024404</v>
      </c>
    </row>
    <row r="59" spans="1:36" x14ac:dyDescent="0.3">
      <c r="A59" s="5" t="s">
        <v>303</v>
      </c>
      <c r="B59" s="5" t="s">
        <v>167</v>
      </c>
      <c r="C59" s="5" t="s">
        <v>207</v>
      </c>
      <c r="E59" s="5" t="s">
        <v>149</v>
      </c>
      <c r="F59" s="8">
        <v>0.97979589711327097</v>
      </c>
      <c r="G59" s="5" t="s">
        <v>30</v>
      </c>
      <c r="H59" s="6">
        <v>0</v>
      </c>
      <c r="I59" s="5" t="s">
        <v>31</v>
      </c>
      <c r="J59" s="6">
        <v>0</v>
      </c>
      <c r="K59" s="6">
        <v>0</v>
      </c>
      <c r="L59" s="5" t="s">
        <v>30</v>
      </c>
      <c r="M59" s="6">
        <v>0</v>
      </c>
      <c r="N59" s="12" t="s">
        <v>31</v>
      </c>
      <c r="Q59" s="6">
        <v>0</v>
      </c>
      <c r="R59" s="8">
        <v>1</v>
      </c>
      <c r="S59" s="6">
        <v>26.4616169425117</v>
      </c>
      <c r="T59" s="6">
        <v>0</v>
      </c>
      <c r="U59" s="6">
        <v>0</v>
      </c>
      <c r="V59" s="6">
        <v>0</v>
      </c>
      <c r="W59" s="6">
        <v>0</v>
      </c>
      <c r="X59" s="5">
        <v>1</v>
      </c>
      <c r="Y59" s="6" t="s">
        <v>32</v>
      </c>
      <c r="Z59" s="6">
        <v>0</v>
      </c>
      <c r="AA59" s="6">
        <v>0</v>
      </c>
      <c r="AB59" s="6">
        <v>0</v>
      </c>
      <c r="AC59" s="6">
        <v>0</v>
      </c>
      <c r="AD59" s="6">
        <v>1</v>
      </c>
      <c r="AE59" s="5">
        <v>0</v>
      </c>
      <c r="AH59" s="6">
        <v>1</v>
      </c>
      <c r="AI59" s="6">
        <v>1</v>
      </c>
      <c r="AJ59" s="5">
        <v>91.874912754503896</v>
      </c>
    </row>
    <row r="60" spans="1:36" x14ac:dyDescent="0.3">
      <c r="A60" s="5" t="s">
        <v>304</v>
      </c>
      <c r="B60" s="5" t="s">
        <v>168</v>
      </c>
      <c r="C60" s="5" t="s">
        <v>208</v>
      </c>
      <c r="E60" s="5" t="s">
        <v>149</v>
      </c>
      <c r="F60" s="8">
        <v>0.97979589711327097</v>
      </c>
      <c r="G60" s="5" t="s">
        <v>30</v>
      </c>
      <c r="H60" s="6">
        <v>0</v>
      </c>
      <c r="I60" s="5" t="s">
        <v>31</v>
      </c>
      <c r="J60" s="6">
        <v>0</v>
      </c>
      <c r="K60" s="6">
        <v>0</v>
      </c>
      <c r="L60" s="5" t="s">
        <v>30</v>
      </c>
      <c r="M60" s="6">
        <v>0</v>
      </c>
      <c r="N60" s="12" t="s">
        <v>31</v>
      </c>
      <c r="Q60" s="6">
        <v>0</v>
      </c>
      <c r="R60" s="8">
        <v>1</v>
      </c>
      <c r="S60" s="6">
        <v>26.4616169425117</v>
      </c>
      <c r="T60" s="6">
        <v>0</v>
      </c>
      <c r="U60" s="6">
        <v>0</v>
      </c>
      <c r="V60" s="6">
        <v>0</v>
      </c>
      <c r="W60" s="6">
        <v>0</v>
      </c>
      <c r="X60" s="5">
        <v>1</v>
      </c>
      <c r="Y60" s="6" t="s">
        <v>32</v>
      </c>
      <c r="Z60" s="6">
        <v>0</v>
      </c>
      <c r="AA60" s="6">
        <v>0</v>
      </c>
      <c r="AB60" s="6">
        <v>0</v>
      </c>
      <c r="AC60" s="6">
        <v>0</v>
      </c>
      <c r="AD60" s="6">
        <v>1</v>
      </c>
      <c r="AE60" s="5">
        <v>0</v>
      </c>
      <c r="AH60" s="6">
        <v>1</v>
      </c>
      <c r="AI60" s="6">
        <v>1</v>
      </c>
      <c r="AJ60" s="5">
        <v>266.50527096760999</v>
      </c>
    </row>
    <row r="61" spans="1:36" x14ac:dyDescent="0.3">
      <c r="A61" s="5" t="s">
        <v>305</v>
      </c>
      <c r="B61" s="5" t="s">
        <v>169</v>
      </c>
      <c r="C61" s="5" t="s">
        <v>209</v>
      </c>
      <c r="E61" s="5" t="s">
        <v>149</v>
      </c>
      <c r="F61" s="8">
        <v>0.97979589711327097</v>
      </c>
      <c r="G61" s="5" t="s">
        <v>30</v>
      </c>
      <c r="H61" s="6">
        <v>0</v>
      </c>
      <c r="I61" s="5" t="s">
        <v>31</v>
      </c>
      <c r="J61" s="6">
        <v>0</v>
      </c>
      <c r="K61" s="6">
        <v>0</v>
      </c>
      <c r="L61" s="5" t="s">
        <v>30</v>
      </c>
      <c r="M61" s="6">
        <v>0</v>
      </c>
      <c r="N61" s="12" t="s">
        <v>31</v>
      </c>
      <c r="Q61" s="6">
        <v>0</v>
      </c>
      <c r="R61" s="8">
        <v>1</v>
      </c>
      <c r="S61" s="6">
        <v>26.4616169425117</v>
      </c>
      <c r="T61" s="6">
        <v>0</v>
      </c>
      <c r="U61" s="6">
        <v>0</v>
      </c>
      <c r="V61" s="6">
        <v>0</v>
      </c>
      <c r="W61" s="6">
        <v>0</v>
      </c>
      <c r="X61" s="5">
        <v>1</v>
      </c>
      <c r="Y61" s="6" t="s">
        <v>32</v>
      </c>
      <c r="Z61" s="6">
        <v>0</v>
      </c>
      <c r="AA61" s="6">
        <v>0</v>
      </c>
      <c r="AB61" s="6">
        <v>0</v>
      </c>
      <c r="AC61" s="6">
        <v>0</v>
      </c>
      <c r="AD61" s="6">
        <v>1</v>
      </c>
      <c r="AE61" s="5">
        <v>0</v>
      </c>
      <c r="AH61" s="6">
        <v>1</v>
      </c>
      <c r="AI61" s="6">
        <v>1</v>
      </c>
      <c r="AJ61" s="5">
        <v>249.80322270952101</v>
      </c>
    </row>
    <row r="62" spans="1:36" x14ac:dyDescent="0.3">
      <c r="A62" s="5" t="s">
        <v>306</v>
      </c>
      <c r="B62" s="5" t="s">
        <v>170</v>
      </c>
      <c r="C62" s="5" t="s">
        <v>210</v>
      </c>
      <c r="E62" s="5" t="s">
        <v>149</v>
      </c>
      <c r="F62" s="8">
        <v>0.97979589711327097</v>
      </c>
      <c r="G62" s="5" t="s">
        <v>30</v>
      </c>
      <c r="H62" s="6">
        <v>0</v>
      </c>
      <c r="I62" s="5" t="s">
        <v>31</v>
      </c>
      <c r="J62" s="6">
        <v>0</v>
      </c>
      <c r="K62" s="6">
        <v>0</v>
      </c>
      <c r="L62" s="5" t="s">
        <v>30</v>
      </c>
      <c r="M62" s="6">
        <v>0</v>
      </c>
      <c r="N62" s="12" t="s">
        <v>31</v>
      </c>
      <c r="Q62" s="6">
        <v>0</v>
      </c>
      <c r="R62" s="8">
        <v>1</v>
      </c>
      <c r="S62" s="6">
        <v>26.4616169425117</v>
      </c>
      <c r="T62" s="6">
        <v>0</v>
      </c>
      <c r="U62" s="6">
        <v>0</v>
      </c>
      <c r="V62" s="6">
        <v>0</v>
      </c>
      <c r="W62" s="6">
        <v>0</v>
      </c>
      <c r="X62" s="5">
        <v>1</v>
      </c>
      <c r="Y62" s="6" t="s">
        <v>32</v>
      </c>
      <c r="Z62" s="6">
        <v>0</v>
      </c>
      <c r="AA62" s="6">
        <v>0</v>
      </c>
      <c r="AB62" s="6">
        <v>0</v>
      </c>
      <c r="AC62" s="6">
        <v>0</v>
      </c>
      <c r="AD62" s="6">
        <v>1</v>
      </c>
      <c r="AE62" s="5">
        <v>0</v>
      </c>
      <c r="AH62" s="6">
        <v>1</v>
      </c>
      <c r="AI62" s="6">
        <v>1</v>
      </c>
      <c r="AJ62" s="5">
        <v>92.814880254384406</v>
      </c>
    </row>
    <row r="63" spans="1:36" x14ac:dyDescent="0.3">
      <c r="A63" s="5" t="s">
        <v>307</v>
      </c>
      <c r="B63" s="5" t="s">
        <v>171</v>
      </c>
      <c r="C63" s="5" t="s">
        <v>211</v>
      </c>
      <c r="E63" s="5" t="s">
        <v>149</v>
      </c>
      <c r="F63" s="8">
        <v>0.97979589711327097</v>
      </c>
      <c r="G63" s="5" t="s">
        <v>30</v>
      </c>
      <c r="H63" s="6">
        <v>0</v>
      </c>
      <c r="I63" s="5" t="s">
        <v>31</v>
      </c>
      <c r="J63" s="6">
        <v>0</v>
      </c>
      <c r="K63" s="6">
        <v>0</v>
      </c>
      <c r="L63" s="5" t="s">
        <v>30</v>
      </c>
      <c r="M63" s="6">
        <v>0</v>
      </c>
      <c r="N63" s="12" t="s">
        <v>31</v>
      </c>
      <c r="Q63" s="6">
        <v>0</v>
      </c>
      <c r="R63" s="8">
        <v>1</v>
      </c>
      <c r="S63" s="6">
        <v>26.4616169425117</v>
      </c>
      <c r="T63" s="6">
        <v>0</v>
      </c>
      <c r="U63" s="6">
        <v>0</v>
      </c>
      <c r="V63" s="6">
        <v>0</v>
      </c>
      <c r="W63" s="6">
        <v>0</v>
      </c>
      <c r="X63" s="5">
        <v>1</v>
      </c>
      <c r="Y63" s="6" t="s">
        <v>32</v>
      </c>
      <c r="Z63" s="6">
        <v>0</v>
      </c>
      <c r="AA63" s="6">
        <v>0</v>
      </c>
      <c r="AB63" s="6">
        <v>0</v>
      </c>
      <c r="AC63" s="6">
        <v>0</v>
      </c>
      <c r="AD63" s="6">
        <v>1</v>
      </c>
      <c r="AE63" s="5">
        <v>0</v>
      </c>
      <c r="AH63" s="6">
        <v>1</v>
      </c>
      <c r="AI63" s="6">
        <v>1</v>
      </c>
      <c r="AJ63" s="5">
        <v>245.28964062652199</v>
      </c>
    </row>
    <row r="64" spans="1:36" x14ac:dyDescent="0.3">
      <c r="A64" s="5" t="s">
        <v>308</v>
      </c>
      <c r="B64" s="5" t="s">
        <v>172</v>
      </c>
      <c r="C64" s="5" t="s">
        <v>212</v>
      </c>
      <c r="E64" s="5" t="s">
        <v>149</v>
      </c>
      <c r="F64" s="8">
        <v>0.97979589711327097</v>
      </c>
      <c r="G64" s="5" t="s">
        <v>30</v>
      </c>
      <c r="H64" s="6">
        <v>0</v>
      </c>
      <c r="I64" s="5" t="s">
        <v>31</v>
      </c>
      <c r="J64" s="6">
        <v>0</v>
      </c>
      <c r="K64" s="6">
        <v>0</v>
      </c>
      <c r="L64" s="5" t="s">
        <v>30</v>
      </c>
      <c r="M64" s="6">
        <v>0</v>
      </c>
      <c r="N64" s="12" t="s">
        <v>31</v>
      </c>
      <c r="Q64" s="6">
        <v>0</v>
      </c>
      <c r="R64" s="8">
        <v>1</v>
      </c>
      <c r="S64" s="6">
        <v>26.4616169425117</v>
      </c>
      <c r="T64" s="6">
        <v>0</v>
      </c>
      <c r="U64" s="6">
        <v>0</v>
      </c>
      <c r="V64" s="6">
        <v>0</v>
      </c>
      <c r="W64" s="6">
        <v>0</v>
      </c>
      <c r="X64" s="5">
        <v>1</v>
      </c>
      <c r="Y64" s="6" t="s">
        <v>32</v>
      </c>
      <c r="Z64" s="6">
        <v>0</v>
      </c>
      <c r="AA64" s="6">
        <v>0</v>
      </c>
      <c r="AB64" s="6">
        <v>0</v>
      </c>
      <c r="AC64" s="6">
        <v>0</v>
      </c>
      <c r="AD64" s="6">
        <v>1</v>
      </c>
      <c r="AE64" s="5">
        <v>0</v>
      </c>
      <c r="AH64" s="6">
        <v>1</v>
      </c>
      <c r="AI64" s="6">
        <v>1</v>
      </c>
      <c r="AJ64" s="5">
        <v>252.82281274829401</v>
      </c>
    </row>
    <row r="65" spans="1:36" x14ac:dyDescent="0.3">
      <c r="A65" s="5" t="s">
        <v>309</v>
      </c>
      <c r="B65" s="5" t="s">
        <v>173</v>
      </c>
      <c r="C65" s="5" t="s">
        <v>213</v>
      </c>
      <c r="E65" s="5" t="s">
        <v>149</v>
      </c>
      <c r="F65" s="8">
        <v>0.97979589711327097</v>
      </c>
      <c r="G65" s="5" t="s">
        <v>30</v>
      </c>
      <c r="H65" s="6">
        <v>0</v>
      </c>
      <c r="I65" s="5" t="s">
        <v>31</v>
      </c>
      <c r="J65" s="6">
        <v>0</v>
      </c>
      <c r="K65" s="6">
        <v>0</v>
      </c>
      <c r="L65" s="5" t="s">
        <v>30</v>
      </c>
      <c r="M65" s="6">
        <v>0</v>
      </c>
      <c r="N65" s="12" t="s">
        <v>31</v>
      </c>
      <c r="Q65" s="6">
        <v>0</v>
      </c>
      <c r="R65" s="8">
        <v>1</v>
      </c>
      <c r="S65" s="6">
        <v>26.4616169425117</v>
      </c>
      <c r="T65" s="6">
        <v>0</v>
      </c>
      <c r="U65" s="6">
        <v>0</v>
      </c>
      <c r="V65" s="6">
        <v>0</v>
      </c>
      <c r="W65" s="6">
        <v>0</v>
      </c>
      <c r="X65" s="5">
        <v>1</v>
      </c>
      <c r="Y65" s="6" t="s">
        <v>32</v>
      </c>
      <c r="Z65" s="6">
        <v>0</v>
      </c>
      <c r="AA65" s="6">
        <v>0</v>
      </c>
      <c r="AB65" s="6">
        <v>0</v>
      </c>
      <c r="AC65" s="6">
        <v>0</v>
      </c>
      <c r="AD65" s="6">
        <v>1</v>
      </c>
      <c r="AE65" s="5">
        <v>0</v>
      </c>
      <c r="AH65" s="6">
        <v>1</v>
      </c>
      <c r="AI65" s="6">
        <v>1</v>
      </c>
      <c r="AJ65" s="5">
        <v>92.487956120792902</v>
      </c>
    </row>
    <row r="66" spans="1:36" x14ac:dyDescent="0.3">
      <c r="A66" s="5" t="s">
        <v>310</v>
      </c>
      <c r="B66" s="5" t="s">
        <v>174</v>
      </c>
      <c r="C66" s="5" t="s">
        <v>214</v>
      </c>
      <c r="E66" s="5" t="s">
        <v>149</v>
      </c>
      <c r="F66" s="8">
        <v>0.97979589711327097</v>
      </c>
      <c r="G66" s="5" t="s">
        <v>30</v>
      </c>
      <c r="H66" s="6">
        <v>0</v>
      </c>
      <c r="I66" s="5" t="s">
        <v>31</v>
      </c>
      <c r="J66" s="6">
        <v>0</v>
      </c>
      <c r="K66" s="6">
        <v>0</v>
      </c>
      <c r="L66" s="5" t="s">
        <v>30</v>
      </c>
      <c r="M66" s="6">
        <v>0</v>
      </c>
      <c r="N66" s="12" t="s">
        <v>31</v>
      </c>
      <c r="Q66" s="6">
        <v>0</v>
      </c>
      <c r="R66" s="8">
        <v>1</v>
      </c>
      <c r="S66" s="6">
        <v>26.4616169425117</v>
      </c>
      <c r="T66" s="6">
        <v>0</v>
      </c>
      <c r="U66" s="6">
        <v>0</v>
      </c>
      <c r="V66" s="6">
        <v>0</v>
      </c>
      <c r="W66" s="6">
        <v>0</v>
      </c>
      <c r="X66" s="5">
        <v>1</v>
      </c>
      <c r="Y66" s="6" t="s">
        <v>32</v>
      </c>
      <c r="Z66" s="6">
        <v>0</v>
      </c>
      <c r="AA66" s="6">
        <v>0</v>
      </c>
      <c r="AB66" s="6">
        <v>0</v>
      </c>
      <c r="AC66" s="6">
        <v>0</v>
      </c>
      <c r="AD66" s="6">
        <v>1</v>
      </c>
      <c r="AE66" s="5">
        <v>0</v>
      </c>
      <c r="AH66" s="6">
        <v>1</v>
      </c>
      <c r="AI66" s="6">
        <v>1</v>
      </c>
      <c r="AJ66" s="5">
        <v>272.52131628541298</v>
      </c>
    </row>
    <row r="67" spans="1:36" x14ac:dyDescent="0.3">
      <c r="A67" s="5" t="s">
        <v>311</v>
      </c>
      <c r="B67" s="5" t="s">
        <v>195</v>
      </c>
      <c r="C67" s="5" t="s">
        <v>72</v>
      </c>
      <c r="E67" s="5" t="s">
        <v>151</v>
      </c>
      <c r="F67" s="8">
        <v>0.97979589711327097</v>
      </c>
      <c r="G67" s="5" t="s">
        <v>30</v>
      </c>
      <c r="H67" s="6">
        <v>0</v>
      </c>
      <c r="I67" s="5" t="s">
        <v>31</v>
      </c>
      <c r="J67" s="6">
        <v>0</v>
      </c>
      <c r="K67" s="6">
        <v>0</v>
      </c>
      <c r="L67" s="5" t="s">
        <v>30</v>
      </c>
      <c r="M67" s="6">
        <v>0</v>
      </c>
      <c r="N67" s="12" t="s">
        <v>31</v>
      </c>
      <c r="Q67" s="6">
        <v>0</v>
      </c>
      <c r="R67" s="8">
        <v>1</v>
      </c>
      <c r="S67" s="6">
        <v>0</v>
      </c>
      <c r="T67" s="6">
        <v>0</v>
      </c>
      <c r="U67" s="6">
        <v>0</v>
      </c>
      <c r="V67" s="6">
        <v>0</v>
      </c>
      <c r="W67" s="6">
        <v>0</v>
      </c>
      <c r="X67" s="5">
        <v>1</v>
      </c>
      <c r="Y67" s="6" t="s">
        <v>32</v>
      </c>
      <c r="Z67" s="6">
        <v>0</v>
      </c>
      <c r="AA67" s="6">
        <v>0</v>
      </c>
      <c r="AB67" s="6">
        <v>0</v>
      </c>
      <c r="AC67" s="6">
        <v>0</v>
      </c>
      <c r="AD67" s="6">
        <v>1</v>
      </c>
      <c r="AE67" s="5">
        <v>0</v>
      </c>
      <c r="AH67" s="6">
        <v>1</v>
      </c>
      <c r="AI67" s="6">
        <v>1</v>
      </c>
      <c r="AJ67" s="5">
        <v>249.31114672943301</v>
      </c>
    </row>
    <row r="68" spans="1:36" x14ac:dyDescent="0.3">
      <c r="A68" s="5" t="s">
        <v>312</v>
      </c>
      <c r="B68" s="5" t="s">
        <v>196</v>
      </c>
      <c r="C68" s="5" t="s">
        <v>156</v>
      </c>
      <c r="E68" s="5" t="s">
        <v>151</v>
      </c>
      <c r="F68" s="8">
        <v>0.97979589711327097</v>
      </c>
      <c r="G68" s="5" t="s">
        <v>30</v>
      </c>
      <c r="H68" s="6">
        <v>0</v>
      </c>
      <c r="I68" s="5" t="s">
        <v>31</v>
      </c>
      <c r="J68" s="6">
        <v>0</v>
      </c>
      <c r="K68" s="6">
        <v>0</v>
      </c>
      <c r="L68" s="5" t="s">
        <v>30</v>
      </c>
      <c r="M68" s="6">
        <v>0</v>
      </c>
      <c r="N68" s="12" t="s">
        <v>31</v>
      </c>
      <c r="Q68" s="6">
        <v>0</v>
      </c>
      <c r="R68" s="8">
        <v>1</v>
      </c>
      <c r="S68" s="6">
        <v>0</v>
      </c>
      <c r="T68" s="6">
        <v>0</v>
      </c>
      <c r="U68" s="6">
        <v>0</v>
      </c>
      <c r="V68" s="6">
        <v>0</v>
      </c>
      <c r="W68" s="6">
        <v>0</v>
      </c>
      <c r="X68" s="5">
        <v>1</v>
      </c>
      <c r="Y68" s="6" t="s">
        <v>32</v>
      </c>
      <c r="Z68" s="6">
        <v>0</v>
      </c>
      <c r="AA68" s="6">
        <v>0</v>
      </c>
      <c r="AB68" s="6">
        <v>0</v>
      </c>
      <c r="AC68" s="6">
        <v>0</v>
      </c>
      <c r="AD68" s="6">
        <v>1</v>
      </c>
      <c r="AE68" s="5">
        <v>0</v>
      </c>
      <c r="AH68" s="6">
        <v>1</v>
      </c>
      <c r="AI68" s="6">
        <v>1</v>
      </c>
      <c r="AJ68" s="5">
        <v>259.16282601494999</v>
      </c>
    </row>
    <row r="69" spans="1:36" x14ac:dyDescent="0.3">
      <c r="A69" s="5" t="s">
        <v>313</v>
      </c>
      <c r="B69" s="5" t="s">
        <v>197</v>
      </c>
      <c r="C69" s="5" t="s">
        <v>157</v>
      </c>
      <c r="E69" s="5" t="s">
        <v>151</v>
      </c>
      <c r="F69" s="8">
        <v>0.97979589711327097</v>
      </c>
      <c r="G69" s="5" t="s">
        <v>30</v>
      </c>
      <c r="H69" s="6">
        <v>0</v>
      </c>
      <c r="I69" s="5" t="s">
        <v>31</v>
      </c>
      <c r="J69" s="6">
        <v>0</v>
      </c>
      <c r="K69" s="6">
        <v>0</v>
      </c>
      <c r="L69" s="5" t="s">
        <v>30</v>
      </c>
      <c r="M69" s="6">
        <v>0</v>
      </c>
      <c r="N69" s="12" t="s">
        <v>31</v>
      </c>
      <c r="Q69" s="6">
        <v>0</v>
      </c>
      <c r="R69" s="8">
        <v>1</v>
      </c>
      <c r="S69" s="6">
        <v>0</v>
      </c>
      <c r="T69" s="6">
        <v>0</v>
      </c>
      <c r="U69" s="6">
        <v>0</v>
      </c>
      <c r="V69" s="6">
        <v>0</v>
      </c>
      <c r="W69" s="6">
        <v>0</v>
      </c>
      <c r="X69" s="5">
        <v>1</v>
      </c>
      <c r="Y69" s="6" t="s">
        <v>32</v>
      </c>
      <c r="Z69" s="6">
        <v>0</v>
      </c>
      <c r="AA69" s="6">
        <v>0</v>
      </c>
      <c r="AB69" s="6">
        <v>0</v>
      </c>
      <c r="AC69" s="6">
        <v>0</v>
      </c>
      <c r="AD69" s="6">
        <v>1</v>
      </c>
      <c r="AE69" s="5">
        <v>0</v>
      </c>
      <c r="AH69" s="6">
        <v>1</v>
      </c>
      <c r="AI69" s="6">
        <v>1</v>
      </c>
      <c r="AJ69" s="5">
        <v>93.410271977821296</v>
      </c>
    </row>
    <row r="70" spans="1:36" x14ac:dyDescent="0.3">
      <c r="A70" s="5" t="s">
        <v>314</v>
      </c>
      <c r="B70" s="5" t="s">
        <v>198</v>
      </c>
      <c r="C70" s="5" t="s">
        <v>158</v>
      </c>
      <c r="E70" s="5" t="s">
        <v>151</v>
      </c>
      <c r="F70" s="8">
        <v>0.97979589711327097</v>
      </c>
      <c r="G70" s="5" t="s">
        <v>30</v>
      </c>
      <c r="H70" s="6">
        <v>0</v>
      </c>
      <c r="I70" s="5" t="s">
        <v>31</v>
      </c>
      <c r="J70" s="6">
        <v>0</v>
      </c>
      <c r="K70" s="6">
        <v>0</v>
      </c>
      <c r="L70" s="5" t="s">
        <v>30</v>
      </c>
      <c r="M70" s="6">
        <v>0</v>
      </c>
      <c r="N70" s="12" t="s">
        <v>31</v>
      </c>
      <c r="Q70" s="6">
        <v>0</v>
      </c>
      <c r="R70" s="8">
        <v>1</v>
      </c>
      <c r="S70" s="6">
        <v>0</v>
      </c>
      <c r="T70" s="6">
        <v>0</v>
      </c>
      <c r="U70" s="6">
        <v>0</v>
      </c>
      <c r="V70" s="6">
        <v>0</v>
      </c>
      <c r="W70" s="6">
        <v>0</v>
      </c>
      <c r="X70" s="5">
        <v>1</v>
      </c>
      <c r="Y70" s="6" t="s">
        <v>32</v>
      </c>
      <c r="Z70" s="6">
        <v>0</v>
      </c>
      <c r="AA70" s="6">
        <v>0</v>
      </c>
      <c r="AB70" s="6">
        <v>0</v>
      </c>
      <c r="AC70" s="6">
        <v>0</v>
      </c>
      <c r="AD70" s="6">
        <v>1</v>
      </c>
      <c r="AE70" s="5">
        <v>0</v>
      </c>
      <c r="AH70" s="6">
        <v>1</v>
      </c>
      <c r="AI70" s="6">
        <v>1</v>
      </c>
      <c r="AJ70" s="5">
        <v>262.37922303757102</v>
      </c>
    </row>
    <row r="71" spans="1:36" x14ac:dyDescent="0.3">
      <c r="A71" s="5" t="s">
        <v>315</v>
      </c>
      <c r="B71" s="5" t="s">
        <v>199</v>
      </c>
      <c r="C71" s="5" t="s">
        <v>159</v>
      </c>
      <c r="E71" s="5" t="s">
        <v>151</v>
      </c>
      <c r="F71" s="8">
        <v>0.97979589711327097</v>
      </c>
      <c r="G71" s="5" t="s">
        <v>30</v>
      </c>
      <c r="H71" s="6">
        <v>0</v>
      </c>
      <c r="I71" s="5" t="s">
        <v>31</v>
      </c>
      <c r="J71" s="6">
        <v>0</v>
      </c>
      <c r="K71" s="6">
        <v>0</v>
      </c>
      <c r="L71" s="5" t="s">
        <v>30</v>
      </c>
      <c r="M71" s="6">
        <v>0</v>
      </c>
      <c r="N71" s="12" t="s">
        <v>31</v>
      </c>
      <c r="Q71" s="6">
        <v>0</v>
      </c>
      <c r="R71" s="8">
        <v>1</v>
      </c>
      <c r="S71" s="6">
        <v>0</v>
      </c>
      <c r="T71" s="6">
        <v>0</v>
      </c>
      <c r="U71" s="6">
        <v>0</v>
      </c>
      <c r="V71" s="6">
        <v>0</v>
      </c>
      <c r="W71" s="6">
        <v>0</v>
      </c>
      <c r="X71" s="5">
        <v>1</v>
      </c>
      <c r="Y71" s="6" t="s">
        <v>32</v>
      </c>
      <c r="Z71" s="6">
        <v>0</v>
      </c>
      <c r="AA71" s="6">
        <v>0</v>
      </c>
      <c r="AB71" s="6">
        <v>0</v>
      </c>
      <c r="AC71" s="6">
        <v>0</v>
      </c>
      <c r="AD71" s="6">
        <v>1</v>
      </c>
      <c r="AE71" s="5">
        <v>0</v>
      </c>
      <c r="AH71" s="6">
        <v>1</v>
      </c>
      <c r="AI71" s="6">
        <v>1</v>
      </c>
      <c r="AJ71" s="5">
        <v>95.126399060948998</v>
      </c>
    </row>
    <row r="72" spans="1:36" x14ac:dyDescent="0.3">
      <c r="A72" s="5" t="s">
        <v>316</v>
      </c>
      <c r="B72" s="5" t="s">
        <v>200</v>
      </c>
      <c r="C72" s="5" t="s">
        <v>160</v>
      </c>
      <c r="E72" s="5" t="s">
        <v>151</v>
      </c>
      <c r="F72" s="8">
        <v>0.97979589711327097</v>
      </c>
      <c r="G72" s="5" t="s">
        <v>30</v>
      </c>
      <c r="H72" s="6">
        <v>0</v>
      </c>
      <c r="I72" s="5" t="s">
        <v>31</v>
      </c>
      <c r="J72" s="6">
        <v>0</v>
      </c>
      <c r="K72" s="6">
        <v>0</v>
      </c>
      <c r="L72" s="5" t="s">
        <v>30</v>
      </c>
      <c r="M72" s="6">
        <v>0</v>
      </c>
      <c r="N72" s="12" t="s">
        <v>31</v>
      </c>
      <c r="Q72" s="6">
        <v>0</v>
      </c>
      <c r="R72" s="8">
        <v>1</v>
      </c>
      <c r="S72" s="6">
        <v>0</v>
      </c>
      <c r="T72" s="6">
        <v>0</v>
      </c>
      <c r="U72" s="6">
        <v>0</v>
      </c>
      <c r="V72" s="6">
        <v>0</v>
      </c>
      <c r="W72" s="6">
        <v>0</v>
      </c>
      <c r="X72" s="5">
        <v>1</v>
      </c>
      <c r="Y72" s="6" t="s">
        <v>32</v>
      </c>
      <c r="Z72" s="6">
        <v>0</v>
      </c>
      <c r="AA72" s="6">
        <v>0</v>
      </c>
      <c r="AB72" s="6">
        <v>0</v>
      </c>
      <c r="AC72" s="6">
        <v>0</v>
      </c>
      <c r="AD72" s="6">
        <v>1</v>
      </c>
      <c r="AE72" s="5">
        <v>0</v>
      </c>
      <c r="AH72" s="6">
        <v>1</v>
      </c>
      <c r="AI72" s="6">
        <v>1</v>
      </c>
      <c r="AJ72" s="5">
        <v>89.105462723344402</v>
      </c>
    </row>
    <row r="73" spans="1:36" x14ac:dyDescent="0.3">
      <c r="A73" s="5" t="s">
        <v>317</v>
      </c>
      <c r="B73" s="5" t="s">
        <v>201</v>
      </c>
      <c r="C73" s="5" t="s">
        <v>161</v>
      </c>
      <c r="E73" s="5" t="s">
        <v>151</v>
      </c>
      <c r="F73" s="8">
        <v>0.97979589711327097</v>
      </c>
      <c r="G73" s="5" t="s">
        <v>30</v>
      </c>
      <c r="H73" s="6">
        <v>0</v>
      </c>
      <c r="I73" s="5" t="s">
        <v>31</v>
      </c>
      <c r="J73" s="6">
        <v>0</v>
      </c>
      <c r="K73" s="6">
        <v>0</v>
      </c>
      <c r="L73" s="5" t="s">
        <v>30</v>
      </c>
      <c r="M73" s="6">
        <v>0</v>
      </c>
      <c r="N73" s="12" t="s">
        <v>31</v>
      </c>
      <c r="Q73" s="6">
        <v>0</v>
      </c>
      <c r="R73" s="8">
        <v>1</v>
      </c>
      <c r="S73" s="6">
        <v>0</v>
      </c>
      <c r="T73" s="6">
        <v>0</v>
      </c>
      <c r="U73" s="6">
        <v>0</v>
      </c>
      <c r="V73" s="6">
        <v>0</v>
      </c>
      <c r="W73" s="6">
        <v>0</v>
      </c>
      <c r="X73" s="5">
        <v>1</v>
      </c>
      <c r="Y73" s="6" t="s">
        <v>32</v>
      </c>
      <c r="Z73" s="6">
        <v>0</v>
      </c>
      <c r="AA73" s="6">
        <v>0</v>
      </c>
      <c r="AB73" s="6">
        <v>0</v>
      </c>
      <c r="AC73" s="6">
        <v>0</v>
      </c>
      <c r="AD73" s="6">
        <v>1</v>
      </c>
      <c r="AE73" s="5">
        <v>0</v>
      </c>
      <c r="AH73" s="6">
        <v>1</v>
      </c>
      <c r="AI73" s="6">
        <v>1</v>
      </c>
      <c r="AJ73" s="5">
        <v>250.27365130080699</v>
      </c>
    </row>
    <row r="74" spans="1:36" x14ac:dyDescent="0.3">
      <c r="A74" s="5" t="s">
        <v>318</v>
      </c>
      <c r="B74" s="5" t="s">
        <v>202</v>
      </c>
      <c r="C74" s="5" t="s">
        <v>162</v>
      </c>
      <c r="E74" s="5" t="s">
        <v>151</v>
      </c>
      <c r="F74" s="8">
        <v>0.97979589711327097</v>
      </c>
      <c r="G74" s="5" t="s">
        <v>30</v>
      </c>
      <c r="H74" s="6">
        <v>0</v>
      </c>
      <c r="I74" s="5" t="s">
        <v>31</v>
      </c>
      <c r="J74" s="6">
        <v>0</v>
      </c>
      <c r="K74" s="6">
        <v>0</v>
      </c>
      <c r="L74" s="5" t="s">
        <v>30</v>
      </c>
      <c r="M74" s="6">
        <v>0</v>
      </c>
      <c r="N74" s="12" t="s">
        <v>31</v>
      </c>
      <c r="Q74" s="6">
        <v>0</v>
      </c>
      <c r="R74" s="8">
        <v>1</v>
      </c>
      <c r="S74" s="6">
        <v>0</v>
      </c>
      <c r="T74" s="6">
        <v>0</v>
      </c>
      <c r="U74" s="6">
        <v>0</v>
      </c>
      <c r="V74" s="6">
        <v>0</v>
      </c>
      <c r="W74" s="6">
        <v>0</v>
      </c>
      <c r="X74" s="5">
        <v>1</v>
      </c>
      <c r="Y74" s="6" t="s">
        <v>32</v>
      </c>
      <c r="Z74" s="6">
        <v>0</v>
      </c>
      <c r="AA74" s="6">
        <v>0</v>
      </c>
      <c r="AB74" s="6">
        <v>0</v>
      </c>
      <c r="AC74" s="6">
        <v>0</v>
      </c>
      <c r="AD74" s="6">
        <v>1</v>
      </c>
      <c r="AE74" s="5">
        <v>0</v>
      </c>
      <c r="AH74" s="6">
        <v>1</v>
      </c>
      <c r="AI74" s="6">
        <v>1</v>
      </c>
      <c r="AJ74" s="5">
        <v>92.208319049980403</v>
      </c>
    </row>
    <row r="75" spans="1:36" x14ac:dyDescent="0.3">
      <c r="A75" s="5" t="s">
        <v>319</v>
      </c>
      <c r="B75" s="5" t="s">
        <v>203</v>
      </c>
      <c r="C75" s="5" t="s">
        <v>163</v>
      </c>
      <c r="E75" s="5" t="s">
        <v>151</v>
      </c>
      <c r="F75" s="8">
        <v>0.97979589711327097</v>
      </c>
      <c r="G75" s="5" t="s">
        <v>30</v>
      </c>
      <c r="H75" s="6">
        <v>0</v>
      </c>
      <c r="I75" s="5" t="s">
        <v>31</v>
      </c>
      <c r="J75" s="6">
        <v>0</v>
      </c>
      <c r="K75" s="6">
        <v>0</v>
      </c>
      <c r="L75" s="5" t="s">
        <v>30</v>
      </c>
      <c r="M75" s="6">
        <v>0</v>
      </c>
      <c r="N75" s="12" t="s">
        <v>31</v>
      </c>
      <c r="Q75" s="6">
        <v>0</v>
      </c>
      <c r="R75" s="8">
        <v>1</v>
      </c>
      <c r="S75" s="6">
        <v>0</v>
      </c>
      <c r="T75" s="6">
        <v>0</v>
      </c>
      <c r="U75" s="6">
        <v>0</v>
      </c>
      <c r="V75" s="6">
        <v>0</v>
      </c>
      <c r="W75" s="6">
        <v>0</v>
      </c>
      <c r="X75" s="5">
        <v>1</v>
      </c>
      <c r="Y75" s="6" t="s">
        <v>32</v>
      </c>
      <c r="Z75" s="6">
        <v>0</v>
      </c>
      <c r="AA75" s="6">
        <v>0</v>
      </c>
      <c r="AB75" s="6">
        <v>0</v>
      </c>
      <c r="AC75" s="6">
        <v>0</v>
      </c>
      <c r="AD75" s="6">
        <v>1</v>
      </c>
      <c r="AE75" s="5">
        <v>0</v>
      </c>
      <c r="AH75" s="6">
        <v>1</v>
      </c>
      <c r="AI75" s="6">
        <v>1</v>
      </c>
      <c r="AJ75" s="5">
        <v>88.425151130345697</v>
      </c>
    </row>
    <row r="76" spans="1:36" x14ac:dyDescent="0.3">
      <c r="A76" s="5" t="s">
        <v>320</v>
      </c>
      <c r="B76" s="5" t="s">
        <v>204</v>
      </c>
      <c r="C76" s="5" t="s">
        <v>164</v>
      </c>
      <c r="E76" s="5" t="s">
        <v>151</v>
      </c>
      <c r="F76" s="8">
        <v>0.97979589711327097</v>
      </c>
      <c r="G76" s="5" t="s">
        <v>30</v>
      </c>
      <c r="H76" s="6">
        <v>0</v>
      </c>
      <c r="I76" s="5" t="s">
        <v>31</v>
      </c>
      <c r="J76" s="6">
        <v>0</v>
      </c>
      <c r="K76" s="6">
        <v>0</v>
      </c>
      <c r="L76" s="5" t="s">
        <v>30</v>
      </c>
      <c r="M76" s="6">
        <v>0</v>
      </c>
      <c r="N76" s="12" t="s">
        <v>31</v>
      </c>
      <c r="Q76" s="6">
        <v>0</v>
      </c>
      <c r="R76" s="8">
        <v>1</v>
      </c>
      <c r="S76" s="6">
        <v>0</v>
      </c>
      <c r="T76" s="6">
        <v>0</v>
      </c>
      <c r="U76" s="6">
        <v>0</v>
      </c>
      <c r="V76" s="6">
        <v>0</v>
      </c>
      <c r="W76" s="6">
        <v>0</v>
      </c>
      <c r="X76" s="5">
        <v>1</v>
      </c>
      <c r="Y76" s="6" t="s">
        <v>32</v>
      </c>
      <c r="Z76" s="6">
        <v>0</v>
      </c>
      <c r="AA76" s="6">
        <v>0</v>
      </c>
      <c r="AB76" s="6">
        <v>0</v>
      </c>
      <c r="AC76" s="6">
        <v>0</v>
      </c>
      <c r="AD76" s="6">
        <v>1</v>
      </c>
      <c r="AE76" s="5">
        <v>0</v>
      </c>
      <c r="AH76" s="6">
        <v>1</v>
      </c>
      <c r="AI76" s="6">
        <v>1</v>
      </c>
      <c r="AJ76" s="5">
        <v>1538.3948565471801</v>
      </c>
    </row>
    <row r="77" spans="1:36" x14ac:dyDescent="0.3">
      <c r="A77" s="5" t="s">
        <v>321</v>
      </c>
      <c r="B77" s="5" t="s">
        <v>205</v>
      </c>
      <c r="C77" s="5" t="s">
        <v>165</v>
      </c>
      <c r="E77" s="5" t="s">
        <v>151</v>
      </c>
      <c r="F77" s="8">
        <v>0.97979589711327097</v>
      </c>
      <c r="G77" s="5" t="s">
        <v>30</v>
      </c>
      <c r="H77" s="6">
        <v>0</v>
      </c>
      <c r="I77" s="5" t="s">
        <v>31</v>
      </c>
      <c r="J77" s="6">
        <v>0</v>
      </c>
      <c r="K77" s="6">
        <v>0</v>
      </c>
      <c r="L77" s="5" t="s">
        <v>30</v>
      </c>
      <c r="M77" s="6">
        <v>0</v>
      </c>
      <c r="N77" s="12" t="s">
        <v>31</v>
      </c>
      <c r="Q77" s="6">
        <v>0</v>
      </c>
      <c r="R77" s="8">
        <v>1</v>
      </c>
      <c r="S77" s="6">
        <v>0</v>
      </c>
      <c r="T77" s="6">
        <v>0</v>
      </c>
      <c r="U77" s="6">
        <v>0</v>
      </c>
      <c r="V77" s="6">
        <v>0</v>
      </c>
      <c r="W77" s="6">
        <v>0</v>
      </c>
      <c r="X77" s="5">
        <v>1</v>
      </c>
      <c r="Y77" s="6" t="s">
        <v>32</v>
      </c>
      <c r="Z77" s="6">
        <v>0</v>
      </c>
      <c r="AA77" s="6">
        <v>0</v>
      </c>
      <c r="AB77" s="6">
        <v>0</v>
      </c>
      <c r="AC77" s="6">
        <v>0</v>
      </c>
      <c r="AD77" s="6">
        <v>1</v>
      </c>
      <c r="AE77" s="5">
        <v>0</v>
      </c>
      <c r="AH77" s="6">
        <v>1</v>
      </c>
      <c r="AI77" s="6">
        <v>1</v>
      </c>
      <c r="AJ77" s="5">
        <v>94.980033736124994</v>
      </c>
    </row>
    <row r="78" spans="1:36" x14ac:dyDescent="0.3">
      <c r="A78" s="5" t="s">
        <v>322</v>
      </c>
      <c r="B78" s="5" t="s">
        <v>206</v>
      </c>
      <c r="C78" s="5" t="s">
        <v>166</v>
      </c>
      <c r="E78" s="5" t="s">
        <v>151</v>
      </c>
      <c r="F78" s="8">
        <v>0.97979589711327097</v>
      </c>
      <c r="G78" s="5" t="s">
        <v>30</v>
      </c>
      <c r="H78" s="6">
        <v>0</v>
      </c>
      <c r="I78" s="5" t="s">
        <v>31</v>
      </c>
      <c r="J78" s="6">
        <v>0</v>
      </c>
      <c r="K78" s="6">
        <v>0</v>
      </c>
      <c r="L78" s="5" t="s">
        <v>30</v>
      </c>
      <c r="M78" s="6">
        <v>0</v>
      </c>
      <c r="N78" s="12" t="s">
        <v>31</v>
      </c>
      <c r="Q78" s="6">
        <v>0</v>
      </c>
      <c r="R78" s="8">
        <v>1</v>
      </c>
      <c r="S78" s="6">
        <v>0</v>
      </c>
      <c r="T78" s="6">
        <v>0</v>
      </c>
      <c r="U78" s="6">
        <v>0</v>
      </c>
      <c r="V78" s="6">
        <v>0</v>
      </c>
      <c r="W78" s="6">
        <v>0</v>
      </c>
      <c r="X78" s="5">
        <v>1</v>
      </c>
      <c r="Y78" s="6" t="s">
        <v>32</v>
      </c>
      <c r="Z78" s="6">
        <v>0</v>
      </c>
      <c r="AA78" s="6">
        <v>0</v>
      </c>
      <c r="AB78" s="6">
        <v>0</v>
      </c>
      <c r="AC78" s="6">
        <v>0</v>
      </c>
      <c r="AD78" s="6">
        <v>1</v>
      </c>
      <c r="AE78" s="5">
        <v>0</v>
      </c>
      <c r="AH78" s="6">
        <v>1</v>
      </c>
      <c r="AI78" s="6">
        <v>1</v>
      </c>
      <c r="AJ78" s="5">
        <v>92.546075243024404</v>
      </c>
    </row>
    <row r="79" spans="1:36" x14ac:dyDescent="0.3">
      <c r="A79" s="5" t="s">
        <v>323</v>
      </c>
      <c r="B79" s="5" t="s">
        <v>207</v>
      </c>
      <c r="C79" s="5" t="s">
        <v>167</v>
      </c>
      <c r="E79" s="5" t="s">
        <v>151</v>
      </c>
      <c r="F79" s="8">
        <v>0.97979589711327097</v>
      </c>
      <c r="G79" s="5" t="s">
        <v>30</v>
      </c>
      <c r="H79" s="6">
        <v>0</v>
      </c>
      <c r="I79" s="5" t="s">
        <v>31</v>
      </c>
      <c r="J79" s="6">
        <v>0</v>
      </c>
      <c r="K79" s="6">
        <v>0</v>
      </c>
      <c r="L79" s="5" t="s">
        <v>30</v>
      </c>
      <c r="M79" s="6">
        <v>0</v>
      </c>
      <c r="N79" s="12" t="s">
        <v>31</v>
      </c>
      <c r="Q79" s="6">
        <v>0</v>
      </c>
      <c r="R79" s="8">
        <v>1</v>
      </c>
      <c r="S79" s="6">
        <v>0</v>
      </c>
      <c r="T79" s="6">
        <v>0</v>
      </c>
      <c r="U79" s="6">
        <v>0</v>
      </c>
      <c r="V79" s="6">
        <v>0</v>
      </c>
      <c r="W79" s="6">
        <v>0</v>
      </c>
      <c r="X79" s="5">
        <v>1</v>
      </c>
      <c r="Y79" s="6" t="s">
        <v>32</v>
      </c>
      <c r="Z79" s="6">
        <v>0</v>
      </c>
      <c r="AA79" s="6">
        <v>0</v>
      </c>
      <c r="AB79" s="6">
        <v>0</v>
      </c>
      <c r="AC79" s="6">
        <v>0</v>
      </c>
      <c r="AD79" s="6">
        <v>1</v>
      </c>
      <c r="AE79" s="5">
        <v>0</v>
      </c>
      <c r="AH79" s="6">
        <v>1</v>
      </c>
      <c r="AI79" s="6">
        <v>1</v>
      </c>
      <c r="AJ79" s="5">
        <v>91.874912754503896</v>
      </c>
    </row>
    <row r="80" spans="1:36" x14ac:dyDescent="0.3">
      <c r="A80" s="5" t="s">
        <v>324</v>
      </c>
      <c r="B80" s="5" t="s">
        <v>208</v>
      </c>
      <c r="C80" s="5" t="s">
        <v>168</v>
      </c>
      <c r="E80" s="5" t="s">
        <v>151</v>
      </c>
      <c r="F80" s="8">
        <v>0.97979589711327097</v>
      </c>
      <c r="G80" s="5" t="s">
        <v>30</v>
      </c>
      <c r="H80" s="6">
        <v>0</v>
      </c>
      <c r="I80" s="5" t="s">
        <v>31</v>
      </c>
      <c r="J80" s="6">
        <v>0</v>
      </c>
      <c r="K80" s="6">
        <v>0</v>
      </c>
      <c r="L80" s="5" t="s">
        <v>30</v>
      </c>
      <c r="M80" s="6">
        <v>0</v>
      </c>
      <c r="N80" s="12" t="s">
        <v>31</v>
      </c>
      <c r="Q80" s="6">
        <v>0</v>
      </c>
      <c r="R80" s="8">
        <v>1</v>
      </c>
      <c r="S80" s="6">
        <v>0</v>
      </c>
      <c r="T80" s="6">
        <v>0</v>
      </c>
      <c r="U80" s="6">
        <v>0</v>
      </c>
      <c r="V80" s="6">
        <v>0</v>
      </c>
      <c r="W80" s="6">
        <v>0</v>
      </c>
      <c r="X80" s="5">
        <v>1</v>
      </c>
      <c r="Y80" s="6" t="s">
        <v>32</v>
      </c>
      <c r="Z80" s="6">
        <v>0</v>
      </c>
      <c r="AA80" s="6">
        <v>0</v>
      </c>
      <c r="AB80" s="6">
        <v>0</v>
      </c>
      <c r="AC80" s="6">
        <v>0</v>
      </c>
      <c r="AD80" s="6">
        <v>1</v>
      </c>
      <c r="AE80" s="5">
        <v>0</v>
      </c>
      <c r="AH80" s="6">
        <v>1</v>
      </c>
      <c r="AI80" s="6">
        <v>1</v>
      </c>
      <c r="AJ80" s="5">
        <v>266.50527096760999</v>
      </c>
    </row>
    <row r="81" spans="1:36" x14ac:dyDescent="0.3">
      <c r="A81" s="5" t="s">
        <v>325</v>
      </c>
      <c r="B81" s="5" t="s">
        <v>209</v>
      </c>
      <c r="C81" s="5" t="s">
        <v>169</v>
      </c>
      <c r="E81" s="5" t="s">
        <v>151</v>
      </c>
      <c r="F81" s="8">
        <v>0.97979589711327097</v>
      </c>
      <c r="G81" s="5" t="s">
        <v>30</v>
      </c>
      <c r="H81" s="6">
        <v>0</v>
      </c>
      <c r="I81" s="5" t="s">
        <v>31</v>
      </c>
      <c r="J81" s="6">
        <v>0</v>
      </c>
      <c r="K81" s="6">
        <v>0</v>
      </c>
      <c r="L81" s="5" t="s">
        <v>30</v>
      </c>
      <c r="M81" s="6">
        <v>0</v>
      </c>
      <c r="N81" s="12" t="s">
        <v>31</v>
      </c>
      <c r="Q81" s="6">
        <v>0</v>
      </c>
      <c r="R81" s="8">
        <v>1</v>
      </c>
      <c r="S81" s="6">
        <v>0</v>
      </c>
      <c r="T81" s="6">
        <v>0</v>
      </c>
      <c r="U81" s="6">
        <v>0</v>
      </c>
      <c r="V81" s="6">
        <v>0</v>
      </c>
      <c r="W81" s="6">
        <v>0</v>
      </c>
      <c r="X81" s="5">
        <v>1</v>
      </c>
      <c r="Y81" s="6" t="s">
        <v>32</v>
      </c>
      <c r="Z81" s="6">
        <v>0</v>
      </c>
      <c r="AA81" s="6">
        <v>0</v>
      </c>
      <c r="AB81" s="6">
        <v>0</v>
      </c>
      <c r="AC81" s="6">
        <v>0</v>
      </c>
      <c r="AD81" s="6">
        <v>1</v>
      </c>
      <c r="AE81" s="5">
        <v>0</v>
      </c>
      <c r="AH81" s="6">
        <v>1</v>
      </c>
      <c r="AI81" s="6">
        <v>1</v>
      </c>
      <c r="AJ81" s="5">
        <v>249.80322270952101</v>
      </c>
    </row>
    <row r="82" spans="1:36" x14ac:dyDescent="0.3">
      <c r="A82" s="5" t="s">
        <v>326</v>
      </c>
      <c r="B82" s="5" t="s">
        <v>210</v>
      </c>
      <c r="C82" s="5" t="s">
        <v>170</v>
      </c>
      <c r="E82" s="5" t="s">
        <v>151</v>
      </c>
      <c r="F82" s="8">
        <v>0.97979589711327097</v>
      </c>
      <c r="G82" s="5" t="s">
        <v>30</v>
      </c>
      <c r="H82" s="6">
        <v>0</v>
      </c>
      <c r="I82" s="5" t="s">
        <v>31</v>
      </c>
      <c r="J82" s="6">
        <v>0</v>
      </c>
      <c r="K82" s="6">
        <v>0</v>
      </c>
      <c r="L82" s="5" t="s">
        <v>30</v>
      </c>
      <c r="M82" s="6">
        <v>0</v>
      </c>
      <c r="N82" s="12" t="s">
        <v>31</v>
      </c>
      <c r="Q82" s="6">
        <v>0</v>
      </c>
      <c r="R82" s="8">
        <v>1</v>
      </c>
      <c r="S82" s="6">
        <v>0</v>
      </c>
      <c r="T82" s="6">
        <v>0</v>
      </c>
      <c r="U82" s="6">
        <v>0</v>
      </c>
      <c r="V82" s="6">
        <v>0</v>
      </c>
      <c r="W82" s="6">
        <v>0</v>
      </c>
      <c r="X82" s="5">
        <v>1</v>
      </c>
      <c r="Y82" s="6" t="s">
        <v>32</v>
      </c>
      <c r="Z82" s="6">
        <v>0</v>
      </c>
      <c r="AA82" s="6">
        <v>0</v>
      </c>
      <c r="AB82" s="6">
        <v>0</v>
      </c>
      <c r="AC82" s="6">
        <v>0</v>
      </c>
      <c r="AD82" s="6">
        <v>1</v>
      </c>
      <c r="AE82" s="5">
        <v>0</v>
      </c>
      <c r="AH82" s="6">
        <v>1</v>
      </c>
      <c r="AI82" s="6">
        <v>1</v>
      </c>
      <c r="AJ82" s="5">
        <v>92.814880254384406</v>
      </c>
    </row>
    <row r="83" spans="1:36" x14ac:dyDescent="0.3">
      <c r="A83" s="5" t="s">
        <v>327</v>
      </c>
      <c r="B83" s="5" t="s">
        <v>211</v>
      </c>
      <c r="C83" s="5" t="s">
        <v>171</v>
      </c>
      <c r="E83" s="5" t="s">
        <v>151</v>
      </c>
      <c r="F83" s="8">
        <v>0.97979589711327097</v>
      </c>
      <c r="G83" s="5" t="s">
        <v>30</v>
      </c>
      <c r="H83" s="6">
        <v>0</v>
      </c>
      <c r="I83" s="5" t="s">
        <v>31</v>
      </c>
      <c r="J83" s="6">
        <v>0</v>
      </c>
      <c r="K83" s="6">
        <v>0</v>
      </c>
      <c r="L83" s="5" t="s">
        <v>30</v>
      </c>
      <c r="M83" s="6">
        <v>0</v>
      </c>
      <c r="N83" s="12" t="s">
        <v>31</v>
      </c>
      <c r="Q83" s="6">
        <v>0</v>
      </c>
      <c r="R83" s="8">
        <v>1</v>
      </c>
      <c r="S83" s="6">
        <v>0</v>
      </c>
      <c r="T83" s="6">
        <v>0</v>
      </c>
      <c r="U83" s="6">
        <v>0</v>
      </c>
      <c r="V83" s="6">
        <v>0</v>
      </c>
      <c r="W83" s="6">
        <v>0</v>
      </c>
      <c r="X83" s="5">
        <v>1</v>
      </c>
      <c r="Y83" s="6" t="s">
        <v>32</v>
      </c>
      <c r="Z83" s="6">
        <v>0</v>
      </c>
      <c r="AA83" s="6">
        <v>0</v>
      </c>
      <c r="AB83" s="6">
        <v>0</v>
      </c>
      <c r="AC83" s="6">
        <v>0</v>
      </c>
      <c r="AD83" s="6">
        <v>1</v>
      </c>
      <c r="AE83" s="5">
        <v>0</v>
      </c>
      <c r="AH83" s="6">
        <v>1</v>
      </c>
      <c r="AI83" s="6">
        <v>1</v>
      </c>
      <c r="AJ83" s="5">
        <v>245.28964062652199</v>
      </c>
    </row>
    <row r="84" spans="1:36" x14ac:dyDescent="0.3">
      <c r="A84" s="5" t="s">
        <v>328</v>
      </c>
      <c r="B84" s="5" t="s">
        <v>212</v>
      </c>
      <c r="C84" s="5" t="s">
        <v>172</v>
      </c>
      <c r="E84" s="5" t="s">
        <v>151</v>
      </c>
      <c r="F84" s="8">
        <v>0.97979589711327097</v>
      </c>
      <c r="G84" s="5" t="s">
        <v>30</v>
      </c>
      <c r="H84" s="6">
        <v>0</v>
      </c>
      <c r="I84" s="5" t="s">
        <v>31</v>
      </c>
      <c r="J84" s="6">
        <v>0</v>
      </c>
      <c r="K84" s="6">
        <v>0</v>
      </c>
      <c r="L84" s="5" t="s">
        <v>30</v>
      </c>
      <c r="M84" s="6">
        <v>0</v>
      </c>
      <c r="N84" s="12" t="s">
        <v>31</v>
      </c>
      <c r="Q84" s="6">
        <v>0</v>
      </c>
      <c r="R84" s="8">
        <v>1</v>
      </c>
      <c r="S84" s="6">
        <v>0</v>
      </c>
      <c r="T84" s="6">
        <v>0</v>
      </c>
      <c r="U84" s="6">
        <v>0</v>
      </c>
      <c r="V84" s="6">
        <v>0</v>
      </c>
      <c r="W84" s="6">
        <v>0</v>
      </c>
      <c r="X84" s="5">
        <v>1</v>
      </c>
      <c r="Y84" s="6" t="s">
        <v>32</v>
      </c>
      <c r="Z84" s="6">
        <v>0</v>
      </c>
      <c r="AA84" s="6">
        <v>0</v>
      </c>
      <c r="AB84" s="6">
        <v>0</v>
      </c>
      <c r="AC84" s="6">
        <v>0</v>
      </c>
      <c r="AD84" s="6">
        <v>1</v>
      </c>
      <c r="AE84" s="5">
        <v>0</v>
      </c>
      <c r="AH84" s="6">
        <v>1</v>
      </c>
      <c r="AI84" s="6">
        <v>1</v>
      </c>
      <c r="AJ84" s="5">
        <v>252.82281274829401</v>
      </c>
    </row>
    <row r="85" spans="1:36" x14ac:dyDescent="0.3">
      <c r="A85" s="5" t="s">
        <v>329</v>
      </c>
      <c r="B85" s="5" t="s">
        <v>213</v>
      </c>
      <c r="C85" s="5" t="s">
        <v>173</v>
      </c>
      <c r="E85" s="5" t="s">
        <v>151</v>
      </c>
      <c r="F85" s="8">
        <v>0.97979589711327097</v>
      </c>
      <c r="G85" s="5" t="s">
        <v>30</v>
      </c>
      <c r="H85" s="6">
        <v>0</v>
      </c>
      <c r="I85" s="5" t="s">
        <v>31</v>
      </c>
      <c r="J85" s="6">
        <v>0</v>
      </c>
      <c r="K85" s="6">
        <v>0</v>
      </c>
      <c r="L85" s="5" t="s">
        <v>30</v>
      </c>
      <c r="M85" s="6">
        <v>0</v>
      </c>
      <c r="N85" s="12" t="s">
        <v>31</v>
      </c>
      <c r="Q85" s="6">
        <v>0</v>
      </c>
      <c r="R85" s="8">
        <v>1</v>
      </c>
      <c r="S85" s="6">
        <v>0</v>
      </c>
      <c r="T85" s="6">
        <v>0</v>
      </c>
      <c r="U85" s="6">
        <v>0</v>
      </c>
      <c r="V85" s="6">
        <v>0</v>
      </c>
      <c r="W85" s="6">
        <v>0</v>
      </c>
      <c r="X85" s="5">
        <v>1</v>
      </c>
      <c r="Y85" s="6" t="s">
        <v>32</v>
      </c>
      <c r="Z85" s="6">
        <v>0</v>
      </c>
      <c r="AA85" s="6">
        <v>0</v>
      </c>
      <c r="AB85" s="6">
        <v>0</v>
      </c>
      <c r="AC85" s="6">
        <v>0</v>
      </c>
      <c r="AD85" s="6">
        <v>1</v>
      </c>
      <c r="AE85" s="5">
        <v>0</v>
      </c>
      <c r="AH85" s="6">
        <v>1</v>
      </c>
      <c r="AI85" s="6">
        <v>1</v>
      </c>
      <c r="AJ85" s="5">
        <v>92.487956120792902</v>
      </c>
    </row>
    <row r="86" spans="1:36" x14ac:dyDescent="0.3">
      <c r="A86" s="5" t="s">
        <v>330</v>
      </c>
      <c r="B86" s="5" t="s">
        <v>214</v>
      </c>
      <c r="C86" s="5" t="s">
        <v>174</v>
      </c>
      <c r="E86" s="5" t="s">
        <v>151</v>
      </c>
      <c r="F86" s="8">
        <v>0.97979589711327097</v>
      </c>
      <c r="G86" s="5" t="s">
        <v>30</v>
      </c>
      <c r="H86" s="6">
        <v>0</v>
      </c>
      <c r="I86" s="5" t="s">
        <v>31</v>
      </c>
      <c r="J86" s="6">
        <v>0</v>
      </c>
      <c r="K86" s="6">
        <v>0</v>
      </c>
      <c r="L86" s="5" t="s">
        <v>30</v>
      </c>
      <c r="M86" s="6">
        <v>0</v>
      </c>
      <c r="N86" s="12" t="s">
        <v>31</v>
      </c>
      <c r="Q86" s="6">
        <v>0</v>
      </c>
      <c r="R86" s="8">
        <v>1</v>
      </c>
      <c r="S86" s="6">
        <v>0</v>
      </c>
      <c r="T86" s="6">
        <v>0</v>
      </c>
      <c r="U86" s="6">
        <v>0</v>
      </c>
      <c r="V86" s="6">
        <v>0</v>
      </c>
      <c r="W86" s="6">
        <v>0</v>
      </c>
      <c r="X86" s="5">
        <v>1</v>
      </c>
      <c r="Y86" s="6" t="s">
        <v>32</v>
      </c>
      <c r="Z86" s="6">
        <v>0</v>
      </c>
      <c r="AA86" s="6">
        <v>0</v>
      </c>
      <c r="AB86" s="6">
        <v>0</v>
      </c>
      <c r="AC86" s="6">
        <v>0</v>
      </c>
      <c r="AD86" s="6">
        <v>1</v>
      </c>
      <c r="AE86" s="5">
        <v>0</v>
      </c>
      <c r="AH86" s="6">
        <v>1</v>
      </c>
      <c r="AI86" s="6">
        <v>1</v>
      </c>
      <c r="AJ86" s="5">
        <v>272.52131628541298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1"/>
  <sheetViews>
    <sheetView workbookViewId="0"/>
  </sheetViews>
  <sheetFormatPr defaultRowHeight="14.4" x14ac:dyDescent="0.3"/>
  <cols>
    <col min="1" max="1" width="18.6640625" style="5" bestFit="1" customWidth="1"/>
    <col min="2" max="2" width="9" style="5" bestFit="1" customWidth="1"/>
    <col min="3" max="3" width="13.5546875" style="5" bestFit="1" customWidth="1"/>
    <col min="4" max="4" width="16.6640625" style="5" bestFit="1" customWidth="1"/>
    <col min="5" max="5" width="30.33203125" style="5" bestFit="1" customWidth="1"/>
    <col min="6" max="6" width="14.33203125" style="5" bestFit="1" customWidth="1"/>
    <col min="7" max="7" width="16.6640625" style="5" bestFit="1" customWidth="1"/>
    <col min="8" max="8" width="11.88671875" style="5" bestFit="1" customWidth="1"/>
    <col min="9" max="9" width="10" style="5" bestFit="1" customWidth="1"/>
    <col min="10" max="12" width="13.5546875" style="5" bestFit="1" customWidth="1"/>
  </cols>
  <sheetData>
    <row r="1" spans="1:12" ht="18.75" customHeight="1" x14ac:dyDescent="0.3">
      <c r="A1" s="1" t="s">
        <v>0</v>
      </c>
      <c r="B1" s="1" t="s">
        <v>1</v>
      </c>
      <c r="C1" s="1" t="s">
        <v>3</v>
      </c>
      <c r="D1" s="1" t="s">
        <v>33</v>
      </c>
      <c r="E1" s="1" t="s">
        <v>34</v>
      </c>
      <c r="F1" s="1" t="s">
        <v>35</v>
      </c>
      <c r="G1" s="1" t="s">
        <v>36</v>
      </c>
      <c r="H1" s="1" t="s">
        <v>22</v>
      </c>
      <c r="I1" s="1" t="s">
        <v>27</v>
      </c>
      <c r="J1" s="1" t="s">
        <v>37</v>
      </c>
      <c r="K1" s="1" t="s">
        <v>38</v>
      </c>
      <c r="L1" s="1" t="s">
        <v>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C1"/>
  <sheetViews>
    <sheetView workbookViewId="0">
      <selection activeCell="A2" sqref="A2:XFD2"/>
    </sheetView>
  </sheetViews>
  <sheetFormatPr defaultRowHeight="14.4" x14ac:dyDescent="0.3"/>
  <cols>
    <col min="1" max="3" width="8.88671875" style="5" bestFit="1" customWidth="1"/>
    <col min="4" max="4" width="16.6640625" style="5" bestFit="1" customWidth="1"/>
    <col min="5" max="5" width="13.5546875" style="6" bestFit="1" customWidth="1"/>
    <col min="6" max="6" width="13.5546875" style="7" bestFit="1" customWidth="1"/>
    <col min="7" max="7" width="13.5546875" style="5" bestFit="1" customWidth="1"/>
    <col min="8" max="8" width="13.5546875" style="6" bestFit="1" customWidth="1"/>
    <col min="9" max="9" width="13.5546875" style="5" bestFit="1" customWidth="1"/>
    <col min="10" max="12" width="13.5546875" style="6" bestFit="1" customWidth="1"/>
    <col min="13" max="15" width="13.5546875" style="5" bestFit="1" customWidth="1"/>
    <col min="16" max="21" width="13.5546875" style="6" bestFit="1" customWidth="1"/>
    <col min="22" max="22" width="13.5546875" style="8" bestFit="1" customWidth="1"/>
    <col min="23" max="23" width="13.5546875" style="6" bestFit="1" customWidth="1"/>
    <col min="24" max="24" width="13.5546875" style="5" bestFit="1" customWidth="1"/>
    <col min="25" max="25" width="13.5546875" style="6" bestFit="1" customWidth="1"/>
    <col min="26" max="26" width="13.5546875" style="5" bestFit="1" customWidth="1"/>
    <col min="27" max="29" width="13.5546875" style="6" bestFit="1" customWidth="1"/>
  </cols>
  <sheetData>
    <row r="1" spans="1:29" ht="19.5" customHeight="1" x14ac:dyDescent="0.3">
      <c r="A1" s="1" t="s">
        <v>0</v>
      </c>
      <c r="B1" s="1" t="s">
        <v>1</v>
      </c>
      <c r="C1" s="1" t="s">
        <v>2</v>
      </c>
      <c r="D1" s="1" t="s">
        <v>3</v>
      </c>
      <c r="E1" s="2" t="s">
        <v>4</v>
      </c>
      <c r="F1" s="3" t="s">
        <v>5</v>
      </c>
      <c r="G1" s="1" t="s">
        <v>6</v>
      </c>
      <c r="H1" s="2" t="s">
        <v>7</v>
      </c>
      <c r="I1" s="1" t="s">
        <v>8</v>
      </c>
      <c r="J1" s="2" t="s">
        <v>9</v>
      </c>
      <c r="K1" s="2" t="s">
        <v>10</v>
      </c>
      <c r="L1" s="2" t="s">
        <v>11</v>
      </c>
      <c r="M1" s="1" t="s">
        <v>12</v>
      </c>
      <c r="N1" s="1" t="s">
        <v>13</v>
      </c>
      <c r="O1" s="1" t="s">
        <v>14</v>
      </c>
      <c r="P1" s="2" t="s">
        <v>15</v>
      </c>
      <c r="Q1" s="2" t="s">
        <v>16</v>
      </c>
      <c r="R1" s="2" t="s">
        <v>17</v>
      </c>
      <c r="S1" s="2" t="s">
        <v>18</v>
      </c>
      <c r="T1" s="2" t="s">
        <v>19</v>
      </c>
      <c r="U1" s="2" t="s">
        <v>20</v>
      </c>
      <c r="V1" s="4" t="s">
        <v>21</v>
      </c>
      <c r="W1" s="2" t="s">
        <v>22</v>
      </c>
      <c r="X1" s="1" t="s">
        <v>23</v>
      </c>
      <c r="Y1" s="2" t="s">
        <v>24</v>
      </c>
      <c r="Z1" s="1" t="s">
        <v>25</v>
      </c>
      <c r="AA1" s="2" t="s">
        <v>26</v>
      </c>
      <c r="AB1" s="2" t="s">
        <v>27</v>
      </c>
      <c r="AC1" s="2"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8</vt:i4>
      </vt:variant>
    </vt:vector>
  </HeadingPairs>
  <TitlesOfParts>
    <vt:vector size="8" baseType="lpstr">
      <vt:lpstr>Carrier</vt:lpstr>
      <vt:lpstr>Bus</vt:lpstr>
      <vt:lpstr>Load</vt:lpstr>
      <vt:lpstr>Line</vt:lpstr>
      <vt:lpstr>Generator</vt:lpstr>
      <vt:lpstr>Link</vt:lpstr>
      <vt:lpstr>StorageUnit</vt:lpstr>
      <vt:lpstr>Store</vt:lpstr>
    </vt:vector>
  </TitlesOfParts>
  <Manager/>
  <Company>GrapeCity, Inc.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aless</cp:lastModifiedBy>
  <dcterms:created xsi:type="dcterms:W3CDTF">2025-11-05T17:54:00Z</dcterms:created>
  <dcterms:modified xsi:type="dcterms:W3CDTF">2026-01-20T08:30:03Z</dcterms:modified>
</cp:coreProperties>
</file>